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s" sheetId="1" r:id="rId4"/>
    <sheet state="visible" name="Job History" sheetId="2" r:id="rId5"/>
    <sheet state="visible" name="INDEX" sheetId="3" r:id="rId6"/>
    <sheet state="visible" name="ABSTRACT" sheetId="4" r:id="rId7"/>
    <sheet state="visible" name="DTM" sheetId="5" r:id="rId8"/>
    <sheet state="visible" name="Field notes" sheetId="6" r:id="rId9"/>
    <sheet state="visible" name="TRVS" sheetId="7" r:id="rId10"/>
    <sheet state="visible" name="AREA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5">
      <text>
        <t xml:space="preserve">Mart:
</t>
      </text>
    </comment>
  </commentList>
</comments>
</file>

<file path=xl/sharedStrings.xml><?xml version="1.0" encoding="utf-8"?>
<sst xmlns="http://schemas.openxmlformats.org/spreadsheetml/2006/main" count="418" uniqueCount="165">
  <si>
    <t>TABLE OF CONTENTS</t>
  </si>
  <si>
    <t xml:space="preserve">    ITEM </t>
  </si>
  <si>
    <t xml:space="preserve"> PAGE</t>
  </si>
  <si>
    <t>Mutation form…………………………………………….</t>
  </si>
  <si>
    <t>Plane page…………………………………………………........</t>
  </si>
  <si>
    <t>Table of contents………………………………………………….</t>
  </si>
  <si>
    <t>Job History……………………………………………………….</t>
  </si>
  <si>
    <t>Index to computations……………………………………………..</t>
  </si>
  <si>
    <t>Abstract of coordinates …………………………..………………</t>
  </si>
  <si>
    <t>Datum Coordinates and Computations……………………………</t>
  </si>
  <si>
    <t>Index diagram…………………………………………………….</t>
  </si>
  <si>
    <t>Field sheets……………………………………………………….</t>
  </si>
  <si>
    <t>Traverse Computation sheet………………………………............</t>
  </si>
  <si>
    <t>Area Computation……….………………………………………..</t>
  </si>
  <si>
    <t>INDEX TO COMPUTATION</t>
  </si>
  <si>
    <t xml:space="preserve">Using a RTK GPS  a second class traverse </t>
  </si>
  <si>
    <t>was carried out with the following corrections:</t>
  </si>
  <si>
    <t xml:space="preserve">                          U T M Scale factor                               -0.3737</t>
  </si>
  <si>
    <t xml:space="preserve">                                    M S L                                       -0.1911</t>
  </si>
  <si>
    <t xml:space="preserve">                                    C. C.                                               -0.5648</t>
  </si>
  <si>
    <t xml:space="preserve">M F = </t>
  </si>
  <si>
    <t>Note:</t>
  </si>
  <si>
    <t xml:space="preserve">All the other corrections were automatically done by the GPS and so the </t>
  </si>
  <si>
    <t>recorded distance is the horizontal distance.</t>
  </si>
  <si>
    <t>INDEX TO COMPUTATIONS</t>
  </si>
  <si>
    <t xml:space="preserve">The job was done using the total station TC 1600 observing horizontal distances. </t>
  </si>
  <si>
    <t>The following are the standard corrections per 1000 which were applied to obtain</t>
  </si>
  <si>
    <t xml:space="preserve"> the final distances.</t>
  </si>
  <si>
    <t>Height above sea level</t>
  </si>
  <si>
    <t>=</t>
  </si>
  <si>
    <t>(WAKISO)</t>
  </si>
  <si>
    <t>Mean sea level correction</t>
  </si>
  <si>
    <t>Scale factor</t>
  </si>
  <si>
    <t>Combined correction</t>
  </si>
  <si>
    <t>Multiplication Factor MF</t>
  </si>
  <si>
    <t>All the other corrections were made automatically done by the total station and so the</t>
  </si>
  <si>
    <t>the recorded distances are truly horizontal.</t>
  </si>
  <si>
    <t xml:space="preserve">The job was done using the total station ……….. observing horizontal distances. </t>
  </si>
  <si>
    <t>The following are the standard corrections which were applied to obtain to</t>
  </si>
  <si>
    <t>(District)</t>
  </si>
  <si>
    <t>ABSTRACT OF RESULTS</t>
  </si>
  <si>
    <t>Stn</t>
  </si>
  <si>
    <t>Northings</t>
  </si>
  <si>
    <t>Eastings</t>
  </si>
  <si>
    <t>CM1</t>
  </si>
  <si>
    <t>CM2</t>
  </si>
  <si>
    <t>CM3</t>
  </si>
  <si>
    <t>CM4</t>
  </si>
  <si>
    <t>CM5</t>
  </si>
  <si>
    <t>CM6</t>
  </si>
  <si>
    <t>CM7</t>
  </si>
  <si>
    <t>CL1</t>
  </si>
  <si>
    <t>CM8</t>
  </si>
  <si>
    <t>CM9</t>
  </si>
  <si>
    <t>CM10</t>
  </si>
  <si>
    <t>CM11</t>
  </si>
  <si>
    <t>CM12</t>
  </si>
  <si>
    <t>CM13</t>
  </si>
  <si>
    <t>CM14</t>
  </si>
  <si>
    <t>CM15</t>
  </si>
  <si>
    <t>CM16</t>
  </si>
  <si>
    <t>CM17</t>
  </si>
  <si>
    <t>CM18</t>
  </si>
  <si>
    <t>CM19</t>
  </si>
  <si>
    <t>CM20</t>
  </si>
  <si>
    <t>CM21</t>
  </si>
  <si>
    <t>CM22</t>
  </si>
  <si>
    <t>CM23</t>
  </si>
  <si>
    <t>CM24</t>
  </si>
  <si>
    <t>CM25</t>
  </si>
  <si>
    <t>CM26</t>
  </si>
  <si>
    <t>CM27</t>
  </si>
  <si>
    <t>L1</t>
  </si>
  <si>
    <t>CM28</t>
  </si>
  <si>
    <t>CM29</t>
  </si>
  <si>
    <t>CM30</t>
  </si>
  <si>
    <t>CM31</t>
  </si>
  <si>
    <t>CM32</t>
  </si>
  <si>
    <t>CM33</t>
  </si>
  <si>
    <t>CM34</t>
  </si>
  <si>
    <t>CM35</t>
  </si>
  <si>
    <t>CM36</t>
  </si>
  <si>
    <t>CM37</t>
  </si>
  <si>
    <t>CM38</t>
  </si>
  <si>
    <t>CM39</t>
  </si>
  <si>
    <t>CM40</t>
  </si>
  <si>
    <t>CM41</t>
  </si>
  <si>
    <t>CM42</t>
  </si>
  <si>
    <t>CM43</t>
  </si>
  <si>
    <t>CM44</t>
  </si>
  <si>
    <t>CM45</t>
  </si>
  <si>
    <t>CM46</t>
  </si>
  <si>
    <t>CM47</t>
  </si>
  <si>
    <t>CM48</t>
  </si>
  <si>
    <t>CM49</t>
  </si>
  <si>
    <t>CM50</t>
  </si>
  <si>
    <t>CM51</t>
  </si>
  <si>
    <t>CM52</t>
  </si>
  <si>
    <t>CM53</t>
  </si>
  <si>
    <t>CM54</t>
  </si>
  <si>
    <t>CM55</t>
  </si>
  <si>
    <t>CM56</t>
  </si>
  <si>
    <t>CM57</t>
  </si>
  <si>
    <t>CM58</t>
  </si>
  <si>
    <t>CM59</t>
  </si>
  <si>
    <t>CM60</t>
  </si>
  <si>
    <t>CM61</t>
  </si>
  <si>
    <t>CM62</t>
  </si>
  <si>
    <t>CM63</t>
  </si>
  <si>
    <t>CM64</t>
  </si>
  <si>
    <t>CM65</t>
  </si>
  <si>
    <t>DATUM COORDINATES AND COMPUTATIONS</t>
  </si>
  <si>
    <t>cm1</t>
  </si>
  <si>
    <t>I/s No.</t>
  </si>
  <si>
    <t>DD/6126</t>
  </si>
  <si>
    <t>DD/6124</t>
  </si>
  <si>
    <t>cm2</t>
  </si>
  <si>
    <t>OPENING</t>
  </si>
  <si>
    <t>±ΔN</t>
  </si>
  <si>
    <t>±ΔE</t>
  </si>
  <si>
    <t>BEARING</t>
  </si>
  <si>
    <t>DIST</t>
  </si>
  <si>
    <t>CLOSING</t>
  </si>
  <si>
    <t>Observed</t>
  </si>
  <si>
    <t>Corr</t>
  </si>
  <si>
    <t>Direction</t>
  </si>
  <si>
    <t>Final Dist</t>
  </si>
  <si>
    <t>Meas Dist</t>
  </si>
  <si>
    <t>FIELD NOTES</t>
  </si>
  <si>
    <t>AT</t>
  </si>
  <si>
    <t>THE END</t>
  </si>
  <si>
    <t>Bearing</t>
  </si>
  <si>
    <t>Distance</t>
  </si>
  <si>
    <t>±ΔN/m</t>
  </si>
  <si>
    <t>±ΔE/m</t>
  </si>
  <si>
    <t>N/m</t>
  </si>
  <si>
    <t>E/m</t>
  </si>
  <si>
    <t>Remarks</t>
  </si>
  <si>
    <t>TRAVERSE COMPUTATION SHEET</t>
  </si>
  <si>
    <t xml:space="preserve">PROJECT -------------------------------------------------------------------Page---------------of-------------------------------------                                                          </t>
  </si>
  <si>
    <t>Date-----------------------------------------Observed By-----------------------------Compiled By------------------------------</t>
  </si>
  <si>
    <t>xx</t>
  </si>
  <si>
    <t>ee</t>
  </si>
  <si>
    <t>Angular misclsure is</t>
  </si>
  <si>
    <t>76" in 67 setups or</t>
  </si>
  <si>
    <r>
      <rPr>
        <rFont val="Cambria"/>
        <b/>
        <color rgb="FF000000"/>
        <sz val="12.0"/>
      </rPr>
      <t>"</t>
    </r>
    <r>
      <rPr>
        <rFont val="Cambria"/>
        <color rgb="FF000000"/>
        <sz val="10.0"/>
      </rPr>
      <t xml:space="preserve"> per setup</t>
    </r>
  </si>
  <si>
    <t>Linear misclosure is =</t>
  </si>
  <si>
    <t>m</t>
  </si>
  <si>
    <t>or 1 in</t>
  </si>
  <si>
    <t>AREA COMPUTATION</t>
  </si>
  <si>
    <t xml:space="preserve">PLOT </t>
  </si>
  <si>
    <t>POINT</t>
  </si>
  <si>
    <t>AREA=</t>
  </si>
  <si>
    <t>HACTARES</t>
  </si>
  <si>
    <t>OR</t>
  </si>
  <si>
    <t>ACRES</t>
  </si>
  <si>
    <t>DECIMALS</t>
  </si>
  <si>
    <t>AREA &amp; DISTANCE COMPUTATIONS</t>
  </si>
  <si>
    <t xml:space="preserve"> PLOT1</t>
  </si>
  <si>
    <t>Northing</t>
  </si>
  <si>
    <t>Easting</t>
  </si>
  <si>
    <t>Dist/m</t>
  </si>
  <si>
    <t>Ha</t>
  </si>
  <si>
    <t>Acres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</si>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</sst>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"/>
    <numFmt numFmtId="166" formatCode="#,##0.000"/>
    <numFmt numFmtId="167" formatCode="0.0"/>
  </numFmts>
  <fonts count="36">
    <font>
      <sz val="11.0"/>
      <color rgb="FF000000"/>
      <name val="Arial"/>
      <scheme val="minor"/>
    </font>
    <font>
      <sz val="10.0"/>
      <name val="Arial"/>
    </font>
    <font>
      <sz val="14.0"/>
      <name val="Arial"/>
    </font>
    <font>
      <sz val="11.0"/>
      <name val="Arial"/>
    </font>
    <font>
      <b/>
      <u/>
      <sz val="10.0"/>
      <name val="Arial"/>
    </font>
    <font>
      <u/>
      <sz val="10.0"/>
      <name val="Arial"/>
    </font>
    <font>
      <b/>
      <sz val="10.0"/>
      <name val="Arial"/>
    </font>
    <font/>
    <font>
      <b/>
      <sz val="11.0"/>
      <name val="Calibri"/>
    </font>
    <font>
      <sz val="12.0"/>
      <name val="Arial"/>
    </font>
    <font>
      <b/>
      <sz val="14.0"/>
      <name val="Cambria"/>
    </font>
    <font>
      <sz val="11.0"/>
      <name val="Cambria"/>
    </font>
    <font>
      <sz val="12.0"/>
      <name val="Cambria"/>
    </font>
    <font>
      <sz val="14.0"/>
      <name val="Cambria"/>
    </font>
    <font>
      <sz val="10.0"/>
      <name val="Cambria"/>
    </font>
    <font>
      <b/>
      <sz val="16.0"/>
      <color rgb="FF000000"/>
      <name val="Cambria"/>
    </font>
    <font>
      <sz val="12.0"/>
      <color rgb="FF000000"/>
      <name val="Cambria"/>
    </font>
    <font>
      <sz val="11.0"/>
      <color rgb="FF0000FF"/>
      <name val="Cambria"/>
    </font>
    <font>
      <sz val="11.0"/>
      <color rgb="FF0066CC"/>
      <name val="Cambria"/>
    </font>
    <font>
      <b/>
      <sz val="10.0"/>
      <name val="Cambria"/>
    </font>
    <font>
      <b/>
      <sz val="10.0"/>
      <color rgb="FF0066CC"/>
      <name val="Cambria"/>
    </font>
    <font>
      <sz val="10.0"/>
      <color rgb="FF0066CC"/>
      <name val="Cambria"/>
    </font>
    <font>
      <b/>
      <sz val="11.0"/>
      <name val="Cambria"/>
    </font>
    <font>
      <b/>
      <sz val="10.0"/>
      <color rgb="FF0000FF"/>
      <name val="Cambria"/>
    </font>
    <font>
      <sz val="12.0"/>
      <color rgb="FF0000FF"/>
      <name val="Cambria"/>
    </font>
    <font>
      <b/>
      <sz val="12.0"/>
      <color rgb="FF000000"/>
      <name val="Cambria"/>
    </font>
    <font>
      <b/>
      <sz val="12.0"/>
      <color rgb="FF0066CC"/>
      <name val="Cambria"/>
    </font>
    <font>
      <b/>
      <sz val="10.0"/>
      <color rgb="FF000000"/>
      <name val="Cambria"/>
    </font>
    <font>
      <sz val="10.0"/>
      <color rgb="FF0000FF"/>
      <name val="Cambria"/>
    </font>
    <font>
      <b/>
      <sz val="10.0"/>
      <color rgb="FFFF0000"/>
      <name val="Cambria"/>
    </font>
    <font>
      <sz val="10.0"/>
      <color rgb="FFFF0000"/>
      <name val="Cambria"/>
    </font>
    <font>
      <sz val="10.0"/>
      <color rgb="FF974806"/>
      <name val="Cambria"/>
    </font>
    <font>
      <b/>
      <sz val="12.0"/>
      <color rgb="FF0000FF"/>
      <name val="Cambria"/>
    </font>
    <font>
      <b/>
      <sz val="16.0"/>
      <name val="Cambria"/>
    </font>
    <font>
      <sz val="11.0"/>
      <color rgb="FF000000"/>
      <name val="Cambria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30">
    <border/>
    <border>
      <left style="thick">
        <color rgb="FF548DD4"/>
      </left>
      <right style="thin">
        <color rgb="FF000000"/>
      </right>
      <top style="thick">
        <color rgb="FF548DD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548DD4"/>
      </top>
      <bottom style="thin">
        <color rgb="FF000000"/>
      </bottom>
    </border>
    <border>
      <left style="thin">
        <color rgb="FF000000"/>
      </left>
      <right style="thick">
        <color rgb="FF548DD4"/>
      </right>
      <top style="thick">
        <color rgb="FF548DD4"/>
      </top>
      <bottom style="thin">
        <color rgb="FF000000"/>
      </bottom>
    </border>
    <border>
      <left style="thick">
        <color rgb="FF548DD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548DD4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548DD4"/>
      </right>
      <top style="thin">
        <color rgb="FF000000"/>
      </top>
      <bottom style="thin">
        <color rgb="FF000000"/>
      </bottom>
    </border>
    <border>
      <left style="thick">
        <color rgb="FF548DD4"/>
      </left>
      <right style="thin">
        <color rgb="FF000000"/>
      </right>
      <top style="thin">
        <color rgb="FF000000"/>
      </top>
      <bottom style="thick">
        <color rgb="FF548DD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548DD4"/>
      </bottom>
    </border>
    <border>
      <left style="thin">
        <color rgb="FF000000"/>
      </left>
      <right style="thick">
        <color rgb="FF548DD4"/>
      </right>
      <top style="thin">
        <color rgb="FF000000"/>
      </top>
      <bottom style="thick">
        <color rgb="FF548DD4"/>
      </bottom>
    </border>
    <border>
      <left style="thick">
        <color rgb="FF0066CC"/>
      </left>
      <top style="thick">
        <color rgb="FF0066CC"/>
      </top>
    </border>
    <border>
      <top style="thick">
        <color rgb="FF0066CC"/>
      </top>
    </border>
    <border>
      <right style="thick">
        <color rgb="FF0066CC"/>
      </right>
      <top style="thick">
        <color rgb="FF0066CC"/>
      </top>
    </border>
    <border>
      <left style="thick">
        <color rgb="FF0066CC"/>
      </left>
    </border>
    <border>
      <right style="thick">
        <color rgb="FF0066CC"/>
      </right>
    </border>
    <border>
      <left style="thick">
        <color rgb="FF0066CC"/>
      </left>
      <bottom style="thick">
        <color rgb="FF0066CC"/>
      </bottom>
    </border>
    <border>
      <bottom style="thick">
        <color rgb="FF0066CC"/>
      </bottom>
    </border>
    <border>
      <right style="thick">
        <color rgb="FF0066CC"/>
      </right>
      <bottom style="thick">
        <color rgb="FF0066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Font="1"/>
    <xf borderId="1" fillId="0" fontId="4" numFmtId="0" xfId="0" applyAlignment="1" applyBorder="1" applyFont="1">
      <alignment horizontal="left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7" fillId="0" fontId="6" numFmtId="0" xfId="0" applyAlignment="1" applyBorder="1" applyFont="1">
      <alignment horizontal="center" shrinkToFit="0" vertical="bottom" wrapText="0"/>
    </xf>
    <xf borderId="8" fillId="0" fontId="7" numFmtId="0" xfId="0" applyBorder="1" applyFont="1"/>
    <xf borderId="9" fillId="0" fontId="7" numFmtId="0" xfId="0" applyBorder="1" applyFont="1"/>
    <xf borderId="10" fillId="0" fontId="1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2" numFmtId="164" xfId="0" applyAlignment="1" applyFont="1" applyNumberFormat="1">
      <alignment horizontal="right" shrinkToFit="0" vertical="bottom" wrapText="0"/>
    </xf>
    <xf borderId="0" fillId="0" fontId="14" numFmtId="0" xfId="0" applyAlignment="1" applyFont="1">
      <alignment horizontal="left" shrinkToFit="0" vertical="center" wrapText="0"/>
    </xf>
    <xf borderId="13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0" fontId="9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7" fillId="0" fontId="9" numFmtId="0" xfId="0" applyAlignment="1" applyBorder="1" applyFont="1">
      <alignment shrinkToFit="0" vertical="bottom" wrapText="0"/>
    </xf>
    <xf borderId="16" fillId="0" fontId="11" numFmtId="0" xfId="0" applyAlignment="1" applyBorder="1" applyFont="1">
      <alignment horizontal="left" shrinkToFit="0" vertical="center" wrapText="0"/>
    </xf>
    <xf borderId="17" fillId="0" fontId="7" numFmtId="0" xfId="0" applyBorder="1" applyFont="1"/>
    <xf borderId="17" fillId="0" fontId="11" numFmtId="0" xfId="0" applyAlignment="1" applyBorder="1" applyFont="1">
      <alignment horizontal="left" shrinkToFit="0" vertical="bottom" wrapText="0"/>
    </xf>
    <xf borderId="16" fillId="0" fontId="13" numFmtId="0" xfId="0" applyAlignment="1" applyBorder="1" applyFont="1">
      <alignment shrinkToFit="0" vertical="bottom" wrapText="0"/>
    </xf>
    <xf borderId="17" fillId="0" fontId="13" numFmtId="0" xfId="0" applyAlignment="1" applyBorder="1" applyFont="1">
      <alignment shrinkToFit="0" vertical="bottom" wrapText="0"/>
    </xf>
    <xf borderId="16" fillId="0" fontId="12" numFmtId="0" xfId="0" applyAlignment="1" applyBorder="1" applyFont="1">
      <alignment horizontal="left" shrinkToFit="0" vertical="bottom" wrapText="0"/>
    </xf>
    <xf borderId="16" fillId="0" fontId="12" numFmtId="0" xfId="0" applyAlignment="1" applyBorder="1" applyFont="1">
      <alignment shrinkToFit="0" vertical="bottom" wrapText="0"/>
    </xf>
    <xf borderId="17" fillId="0" fontId="12" numFmtId="0" xfId="0" applyAlignment="1" applyBorder="1" applyFont="1">
      <alignment shrinkToFit="0" vertical="bottom" wrapText="0"/>
    </xf>
    <xf borderId="16" fillId="0" fontId="14" numFmtId="0" xfId="0" applyAlignment="1" applyBorder="1" applyFont="1">
      <alignment horizontal="left" shrinkToFit="0" vertical="center" wrapText="0"/>
    </xf>
    <xf borderId="17" fillId="0" fontId="14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20" fillId="0" fontId="1" numFmtId="0" xfId="0" applyAlignment="1" applyBorder="1" applyFont="1">
      <alignment shrinkToFit="0" vertical="bottom" wrapText="0"/>
    </xf>
    <xf borderId="0" fillId="0" fontId="15" numFmtId="0" xfId="0" applyAlignment="1" applyFont="1">
      <alignment horizontal="center" shrinkToFit="0" vertical="center" wrapText="0"/>
    </xf>
    <xf borderId="5" fillId="0" fontId="16" numFmtId="0" xfId="0" applyAlignment="1" applyBorder="1" applyFont="1">
      <alignment horizontal="center" shrinkToFit="0" vertical="center" wrapText="0"/>
    </xf>
    <xf borderId="7" fillId="0" fontId="16" numFmtId="0" xfId="0" applyAlignment="1" applyBorder="1" applyFont="1">
      <alignment horizontal="center" shrinkToFit="0" vertical="center" wrapText="0"/>
    </xf>
    <xf borderId="21" fillId="0" fontId="7" numFmtId="0" xfId="0" applyBorder="1" applyFont="1"/>
    <xf borderId="5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0" fillId="0" fontId="11" numFmtId="0" xfId="0" applyAlignment="1" applyFont="1">
      <alignment horizontal="center" shrinkToFit="0" vertical="center" wrapText="0"/>
    </xf>
    <xf borderId="0" fillId="0" fontId="11" numFmtId="2" xfId="0" applyAlignment="1" applyFont="1" applyNumberFormat="1">
      <alignment horizontal="center" shrinkToFit="0" vertical="center" wrapText="0"/>
    </xf>
    <xf borderId="5" fillId="0" fontId="11" numFmtId="0" xfId="0" applyAlignment="1" applyBorder="1" applyFont="1">
      <alignment horizontal="center" shrinkToFit="0" vertical="center" wrapText="0"/>
    </xf>
    <xf borderId="5" fillId="0" fontId="11" numFmtId="165" xfId="0" applyAlignment="1" applyBorder="1" applyFont="1" applyNumberFormat="1">
      <alignment horizontal="center" shrinkToFit="0" vertical="center" wrapText="0"/>
    </xf>
    <xf borderId="7" fillId="0" fontId="17" numFmtId="0" xfId="0" applyAlignment="1" applyBorder="1" applyFont="1">
      <alignment horizontal="center" shrinkToFit="0" vertical="center" wrapText="0"/>
    </xf>
    <xf borderId="7" fillId="0" fontId="11" numFmtId="0" xfId="0" applyAlignment="1" applyBorder="1" applyFont="1">
      <alignment horizontal="center" shrinkToFit="0" vertical="center" wrapText="0"/>
    </xf>
    <xf borderId="5" fillId="0" fontId="11" numFmtId="2" xfId="0" applyAlignment="1" applyBorder="1" applyFont="1" applyNumberFormat="1">
      <alignment horizontal="center" shrinkToFit="0" vertical="center" wrapText="0"/>
    </xf>
    <xf borderId="5" fillId="0" fontId="18" numFmtId="0" xfId="0" applyAlignment="1" applyBorder="1" applyFont="1">
      <alignment horizontal="center" shrinkToFit="0" vertical="center" wrapText="0"/>
    </xf>
    <xf borderId="5" fillId="0" fontId="18" numFmtId="165" xfId="0" applyAlignment="1" applyBorder="1" applyFont="1" applyNumberFormat="1">
      <alignment horizontal="center" shrinkToFit="0" vertical="center" wrapText="0"/>
    </xf>
    <xf borderId="0" fillId="0" fontId="11" numFmtId="165" xfId="0" applyAlignment="1" applyFont="1" applyNumberFormat="1">
      <alignment horizontal="center" shrinkToFit="0" vertical="center" wrapText="0"/>
    </xf>
    <xf borderId="0" fillId="0" fontId="7" numFmtId="0" xfId="0" applyFont="1"/>
    <xf borderId="0" fillId="0" fontId="7" numFmtId="165" xfId="0" applyFont="1" applyNumberFormat="1"/>
    <xf borderId="5" fillId="0" fontId="19" numFmtId="0" xfId="0" applyAlignment="1" applyBorder="1" applyFont="1">
      <alignment horizontal="center" shrinkToFit="0" vertical="center" wrapText="0"/>
    </xf>
    <xf borderId="7" fillId="0" fontId="19" numFmtId="0" xfId="0" applyAlignment="1" applyBorder="1" applyFont="1">
      <alignment horizontal="center" shrinkToFit="0" vertical="center" wrapText="0"/>
    </xf>
    <xf borderId="7" fillId="0" fontId="20" numFmtId="0" xfId="0" applyAlignment="1" applyBorder="1" applyFont="1">
      <alignment horizontal="center" shrinkToFit="0" vertical="center" wrapText="0"/>
    </xf>
    <xf borderId="5" fillId="0" fontId="20" numFmtId="0" xfId="0" applyAlignment="1" applyBorder="1" applyFont="1">
      <alignment horizontal="center" shrinkToFit="0" vertical="center" wrapText="0"/>
    </xf>
    <xf borderId="5" fillId="0" fontId="19" numFmtId="165" xfId="0" applyAlignment="1" applyBorder="1" applyFont="1" applyNumberForma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1" xfId="0" applyAlignment="1" applyFont="1" applyNumberForma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14" numFmtId="165" xfId="0" applyAlignment="1" applyFont="1" applyNumberFormat="1">
      <alignment horizontal="center" shrinkToFit="0" vertical="center" wrapText="0"/>
    </xf>
    <xf borderId="7" fillId="0" fontId="22" numFmtId="0" xfId="0" applyAlignment="1" applyBorder="1" applyFont="1">
      <alignment horizontal="center" shrinkToFit="0" vertical="center" wrapText="0"/>
    </xf>
    <xf borderId="5" fillId="0" fontId="14" numFmtId="0" xfId="0" applyAlignment="1" applyBorder="1" applyFont="1">
      <alignment horizontal="center" shrinkToFit="0" vertical="center" wrapText="0"/>
    </xf>
    <xf borderId="5" fillId="0" fontId="14" numFmtId="1" xfId="0" applyAlignment="1" applyBorder="1" applyFont="1" applyNumberFormat="1">
      <alignment horizontal="center" shrinkToFit="0" vertical="center" wrapText="0"/>
    </xf>
    <xf borderId="5" fillId="0" fontId="21" numFmtId="0" xfId="0" applyAlignment="1" applyBorder="1" applyFont="1">
      <alignment horizontal="center" shrinkToFit="0" vertical="center" wrapText="0"/>
    </xf>
    <xf borderId="5" fillId="0" fontId="14" numFmtId="165" xfId="0" applyAlignment="1" applyBorder="1" applyFont="1" applyNumberFormat="1">
      <alignment horizontal="center" shrinkToFit="0" vertical="center" wrapText="0"/>
    </xf>
    <xf borderId="5" fillId="0" fontId="21" numFmtId="166" xfId="0" applyAlignment="1" applyBorder="1" applyFont="1" applyNumberFormat="1">
      <alignment horizontal="center" shrinkToFit="0" vertical="center" wrapText="0"/>
    </xf>
    <xf borderId="7" fillId="0" fontId="14" numFmtId="0" xfId="0" applyAlignment="1" applyBorder="1" applyFont="1">
      <alignment horizontal="center" shrinkToFit="0" vertical="center" wrapText="0"/>
    </xf>
    <xf borderId="22" fillId="0" fontId="19" numFmtId="0" xfId="0" applyAlignment="1" applyBorder="1" applyFont="1">
      <alignment horizontal="center" shrinkToFit="0" vertical="bottom" wrapText="0"/>
    </xf>
    <xf borderId="23" fillId="0" fontId="19" numFmtId="1" xfId="0" applyAlignment="1" applyBorder="1" applyFont="1" applyNumberFormat="1">
      <alignment horizontal="center" shrinkToFit="0" vertical="bottom" wrapText="0"/>
    </xf>
    <xf borderId="24" fillId="0" fontId="7" numFmtId="0" xfId="0" applyBorder="1" applyFont="1"/>
    <xf borderId="25" fillId="0" fontId="7" numFmtId="0" xfId="0" applyBorder="1" applyFont="1"/>
    <xf borderId="22" fillId="0" fontId="23" numFmtId="1" xfId="0" applyAlignment="1" applyBorder="1" applyFont="1" applyNumberFormat="1">
      <alignment horizontal="center" shrinkToFit="0" vertical="bottom" wrapText="0"/>
    </xf>
    <xf borderId="22" fillId="0" fontId="19" numFmtId="1" xfId="0" applyAlignment="1" applyBorder="1" applyFont="1" applyNumberFormat="1">
      <alignment horizontal="center" shrinkToFit="0" vertical="bottom" wrapText="0"/>
    </xf>
    <xf borderId="22" fillId="0" fontId="20" numFmtId="2" xfId="0" applyAlignment="1" applyBorder="1" applyFont="1" applyNumberFormat="1">
      <alignment horizontal="center" shrinkToFit="0" vertical="bottom" wrapText="0"/>
    </xf>
    <xf borderId="22" fillId="0" fontId="19" numFmtId="165" xfId="0" applyAlignment="1" applyBorder="1" applyFont="1" applyNumberFormat="1">
      <alignment horizontal="center" shrinkToFit="0" vertical="bottom" wrapText="0"/>
    </xf>
    <xf borderId="22" fillId="0" fontId="20" numFmtId="165" xfId="0" applyAlignment="1" applyBorder="1" applyFont="1" applyNumberFormat="1">
      <alignment horizontal="center" shrinkToFit="0" vertical="bottom" wrapText="0"/>
    </xf>
    <xf borderId="22" fillId="0" fontId="19" numFmtId="2" xfId="0" applyAlignment="1" applyBorder="1" applyFont="1" applyNumberForma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19" numFmtId="1" xfId="0" applyAlignment="1" applyFont="1" applyNumberFormat="1">
      <alignment horizontal="center" shrinkToFit="0" vertical="bottom" wrapText="0"/>
    </xf>
    <xf borderId="0" fillId="0" fontId="23" numFmtId="1" xfId="0" applyAlignment="1" applyFont="1" applyNumberFormat="1">
      <alignment horizontal="center" shrinkToFit="0" vertical="bottom" wrapText="0"/>
    </xf>
    <xf borderId="0" fillId="0" fontId="20" numFmtId="2" xfId="0" applyAlignment="1" applyFont="1" applyNumberFormat="1">
      <alignment horizontal="center" shrinkToFit="0" vertical="bottom" wrapText="0"/>
    </xf>
    <xf borderId="0" fillId="0" fontId="19" numFmtId="165" xfId="0" applyAlignment="1" applyFont="1" applyNumberFormat="1">
      <alignment horizontal="center" shrinkToFit="0" vertical="bottom" wrapText="0"/>
    </xf>
    <xf borderId="0" fillId="0" fontId="20" numFmtId="165" xfId="0" applyAlignment="1" applyFont="1" applyNumberFormat="1">
      <alignment horizontal="center" shrinkToFit="0" vertical="bottom" wrapText="0"/>
    </xf>
    <xf borderId="0" fillId="0" fontId="19" numFmtId="2" xfId="0" applyAlignment="1" applyFont="1" applyNumberFormat="1">
      <alignment horizontal="center"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1" xfId="0" applyAlignment="1" applyFont="1" applyNumberFormat="1">
      <alignment horizontal="center" shrinkToFit="0" vertical="bottom" wrapText="0"/>
    </xf>
    <xf borderId="0" fillId="0" fontId="26" numFmtId="2" xfId="0" applyAlignment="1" applyFont="1" applyNumberFormat="1">
      <alignment horizontal="center" shrinkToFit="0" vertical="bottom" wrapText="0"/>
    </xf>
    <xf borderId="0" fillId="0" fontId="25" numFmtId="165" xfId="0" applyAlignment="1" applyFont="1" applyNumberFormat="1">
      <alignment horizontal="center" shrinkToFit="0" vertical="bottom" wrapText="0"/>
    </xf>
    <xf borderId="0" fillId="0" fontId="26" numFmtId="165" xfId="0" applyAlignment="1" applyFont="1" applyNumberFormat="1">
      <alignment horizontal="center"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27" numFmtId="2" xfId="0" applyAlignment="1" applyFont="1" applyNumberFormat="1">
      <alignment horizontal="center" shrinkToFit="0" vertical="bottom" wrapText="0"/>
    </xf>
    <xf borderId="5" fillId="0" fontId="21" numFmtId="1" xfId="0" applyAlignment="1" applyBorder="1" applyFont="1" applyNumberFormat="1">
      <alignment horizontal="center" shrinkToFit="0" vertical="center" wrapText="0"/>
    </xf>
    <xf borderId="5" fillId="0" fontId="28" numFmtId="1" xfId="0" applyAlignment="1" applyBorder="1" applyFont="1" applyNumberFormat="1">
      <alignment horizontal="center" shrinkToFit="0" vertical="center" wrapText="0"/>
    </xf>
    <xf borderId="5" fillId="0" fontId="21" numFmtId="2" xfId="0" applyAlignment="1" applyBorder="1" applyFont="1" applyNumberFormat="1">
      <alignment horizontal="center" shrinkToFit="0" vertical="center" wrapText="0"/>
    </xf>
    <xf borderId="5" fillId="0" fontId="21" numFmtId="165" xfId="0" applyAlignment="1" applyBorder="1" applyFont="1" applyNumberFormat="1">
      <alignment horizontal="center" shrinkToFit="0" vertical="center" wrapText="0"/>
    </xf>
    <xf borderId="5" fillId="0" fontId="20" numFmtId="1" xfId="0" applyAlignment="1" applyBorder="1" applyFont="1" applyNumberFormat="1">
      <alignment horizontal="center" shrinkToFit="0" vertical="center" wrapText="0"/>
    </xf>
    <xf borderId="5" fillId="0" fontId="29" numFmtId="1" xfId="0" applyAlignment="1" applyBorder="1" applyFont="1" applyNumberFormat="1">
      <alignment horizontal="center" shrinkToFit="0" vertical="center" wrapText="0"/>
    </xf>
    <xf borderId="5" fillId="0" fontId="20" numFmtId="2" xfId="0" applyAlignment="1" applyBorder="1" applyFont="1" applyNumberFormat="1">
      <alignment horizontal="center" shrinkToFit="0" vertical="center" wrapText="0"/>
    </xf>
    <xf borderId="5" fillId="0" fontId="29" numFmtId="165" xfId="0" applyAlignment="1" applyBorder="1" applyFont="1" applyNumberFormat="1">
      <alignment horizontal="center" shrinkToFit="0" vertical="center" wrapText="0"/>
    </xf>
    <xf borderId="5" fillId="0" fontId="20" numFmtId="165" xfId="0" applyAlignment="1" applyBorder="1" applyFont="1" applyNumberFormat="1">
      <alignment horizontal="center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29" numFmtId="0" xfId="0" applyAlignment="1" applyFont="1">
      <alignment shrinkToFit="0" vertical="bottom" wrapText="0"/>
    </xf>
    <xf borderId="0" fillId="0" fontId="29" numFmtId="165" xfId="0" applyAlignment="1" applyFont="1" applyNumberFormat="1">
      <alignment shrinkToFit="0" vertical="bottom" wrapText="0"/>
    </xf>
    <xf borderId="5" fillId="0" fontId="31" numFmtId="165" xfId="0" applyAlignment="1" applyBorder="1" applyFont="1" applyNumberFormat="1">
      <alignment horizontal="center" shrinkToFit="0" vertical="center" wrapText="0"/>
    </xf>
    <xf borderId="0" fillId="0" fontId="30" numFmtId="0" xfId="0" applyAlignment="1" applyFont="1">
      <alignment horizontal="center" shrinkToFit="0" vertical="bottom" wrapText="0"/>
    </xf>
    <xf borderId="26" fillId="0" fontId="21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horizontal="center" shrinkToFit="0" vertical="bottom" wrapText="0"/>
    </xf>
    <xf borderId="23" fillId="0" fontId="14" numFmtId="0" xfId="0" applyAlignment="1" applyBorder="1" applyFont="1">
      <alignment horizontal="center" shrinkToFit="0" vertical="center" wrapText="0"/>
    </xf>
    <xf borderId="5" fillId="0" fontId="14" numFmtId="2" xfId="0" applyAlignment="1" applyBorder="1" applyFont="1" applyNumberFormat="1">
      <alignment horizontal="center" shrinkToFit="0" vertical="center" wrapText="0"/>
    </xf>
    <xf borderId="27" fillId="0" fontId="14" numFmtId="0" xfId="0" applyAlignment="1" applyBorder="1" applyFont="1">
      <alignment horizontal="center" shrinkToFit="0" vertical="center" wrapText="0"/>
    </xf>
    <xf borderId="28" fillId="0" fontId="7" numFmtId="0" xfId="0" applyBorder="1" applyFont="1"/>
    <xf borderId="28" fillId="0" fontId="32" numFmtId="167" xfId="0" applyAlignment="1" applyBorder="1" applyFont="1" applyNumberFormat="1">
      <alignment horizontal="right" shrinkToFit="0" vertical="center" wrapText="0"/>
    </xf>
    <xf borderId="28" fillId="0" fontId="14" numFmtId="0" xfId="0" applyAlignment="1" applyBorder="1" applyFont="1">
      <alignment horizontal="center" shrinkToFit="0" vertical="center" wrapText="0"/>
    </xf>
    <xf borderId="8" fillId="0" fontId="14" numFmtId="1" xfId="0" applyAlignment="1" applyBorder="1" applyFont="1" applyNumberFormat="1">
      <alignment horizontal="left" shrinkToFit="0" vertical="center" wrapText="0"/>
    </xf>
    <xf borderId="21" fillId="0" fontId="14" numFmtId="1" xfId="0" applyAlignment="1" applyBorder="1" applyFont="1" applyNumberFormat="1">
      <alignment horizontal="center" shrinkToFit="0" vertical="center" wrapText="0"/>
    </xf>
    <xf borderId="7" fillId="0" fontId="11" numFmtId="2" xfId="0" applyAlignment="1" applyBorder="1" applyFont="1" applyNumberFormat="1">
      <alignment horizontal="center" shrinkToFit="0" vertical="center" wrapText="0"/>
    </xf>
    <xf borderId="7" fillId="0" fontId="11" numFmtId="0" xfId="0" applyAlignment="1" applyBorder="1" applyFont="1">
      <alignment horizontal="right" shrinkToFit="0" vertical="center" wrapText="0"/>
    </xf>
    <xf borderId="21" fillId="0" fontId="11" numFmtId="165" xfId="0" applyAlignment="1" applyBorder="1" applyFont="1" applyNumberFormat="1">
      <alignment horizontal="left" shrinkToFit="0" vertical="center" wrapText="0"/>
    </xf>
    <xf borderId="5" fillId="0" fontId="22" numFmtId="0" xfId="0" applyAlignment="1" applyBorder="1" applyFont="1">
      <alignment horizontal="center" shrinkToFit="0" vertical="center" wrapText="0"/>
    </xf>
    <xf borderId="7" fillId="0" fontId="22" numFmtId="4" xfId="0" applyAlignment="1" applyBorder="1" applyFont="1" applyNumberFormat="1">
      <alignment horizontal="center" shrinkToFit="0" vertical="center" wrapText="0"/>
    </xf>
    <xf borderId="0" fillId="0" fontId="28" numFmtId="1" xfId="0" applyAlignment="1" applyFont="1" applyNumberFormat="1">
      <alignment horizontal="center" shrinkToFit="0" vertical="center" wrapText="0"/>
    </xf>
    <xf borderId="0" fillId="0" fontId="21" numFmtId="2" xfId="0" applyAlignment="1" applyFont="1" applyNumberFormat="1">
      <alignment horizontal="center" shrinkToFit="0" vertical="center" wrapText="0"/>
    </xf>
    <xf borderId="0" fillId="0" fontId="21" numFmtId="165" xfId="0" applyAlignment="1" applyFont="1" applyNumberFormat="1">
      <alignment horizontal="center" shrinkToFit="0" vertical="center" wrapText="0"/>
    </xf>
    <xf borderId="0" fillId="0" fontId="14" numFmtId="2" xfId="0" applyAlignment="1" applyFont="1" applyNumberFormat="1">
      <alignment horizontal="center" shrinkToFit="0" vertical="center" wrapText="0"/>
    </xf>
    <xf borderId="0" fillId="0" fontId="14" numFmtId="1" xfId="0" applyAlignment="1" applyFont="1" applyNumberFormat="1">
      <alignment shrinkToFit="0" vertical="bottom" wrapText="0"/>
    </xf>
    <xf borderId="0" fillId="0" fontId="28" numFmtId="1" xfId="0" applyAlignment="1" applyFont="1" applyNumberFormat="1">
      <alignment shrinkToFit="0" vertical="bottom" wrapText="0"/>
    </xf>
    <xf borderId="0" fillId="0" fontId="21" numFmtId="2" xfId="0" applyAlignment="1" applyFont="1" applyNumberFormat="1">
      <alignment shrinkToFit="0" vertical="bottom" wrapText="0"/>
    </xf>
    <xf borderId="0" fillId="0" fontId="21" numFmtId="165" xfId="0" applyAlignment="1" applyFont="1" applyNumberFormat="1">
      <alignment shrinkToFit="0" vertical="bottom" wrapText="0"/>
    </xf>
    <xf borderId="0" fillId="0" fontId="14" numFmtId="2" xfId="0" applyAlignment="1" applyFont="1" applyNumberFormat="1">
      <alignment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33" numFmtId="0" xfId="0" applyAlignment="1" applyFont="1">
      <alignment horizontal="center" shrinkToFit="0" vertical="bottom" wrapText="0"/>
    </xf>
    <xf borderId="5" fillId="0" fontId="12" numFmtId="0" xfId="0" applyAlignment="1" applyBorder="1" applyFont="1">
      <alignment horizontal="center" shrinkToFit="0" vertical="bottom" wrapText="0"/>
    </xf>
    <xf borderId="5" fillId="0" fontId="11" numFmtId="0" xfId="0" applyAlignment="1" applyBorder="1" applyFont="1">
      <alignment horizontal="center" shrinkToFit="0" vertical="bottom" wrapText="0"/>
    </xf>
    <xf borderId="5" fillId="0" fontId="12" numFmtId="165" xfId="0" applyAlignment="1" applyBorder="1" applyFont="1" applyNumberFormat="1">
      <alignment horizontal="center" shrinkToFit="0" vertical="bottom" wrapText="0"/>
    </xf>
    <xf borderId="29" fillId="0" fontId="12" numFmtId="2" xfId="0" applyAlignment="1" applyBorder="1" applyFont="1" applyNumberFormat="1">
      <alignment horizontal="center" shrinkToFit="0" vertical="bottom" wrapText="0"/>
    </xf>
    <xf borderId="0" fillId="0" fontId="16" numFmtId="0" xfId="0" applyAlignment="1" applyFont="1">
      <alignment horizontal="center" shrinkToFit="0" vertical="center" wrapText="0"/>
    </xf>
    <xf borderId="7" fillId="0" fontId="25" numFmtId="2" xfId="0" applyAlignment="1" applyBorder="1" applyFont="1" applyNumberFormat="1">
      <alignment horizontal="center" shrinkToFit="0" vertical="center" wrapText="0"/>
    </xf>
    <xf borderId="0" fillId="0" fontId="34" numFmtId="0" xfId="0" applyAlignment="1" applyFont="1">
      <alignment shrinkToFit="0" vertical="bottom" wrapText="0"/>
    </xf>
    <xf borderId="0" fillId="0" fontId="34" numFmtId="0" xfId="0" applyAlignment="1" applyFont="1">
      <alignment horizontal="center" shrinkToFit="0" vertical="center" wrapText="0"/>
    </xf>
    <xf borderId="0" fillId="0" fontId="34" numFmtId="2" xfId="0" applyAlignment="1" applyFont="1" applyNumberFormat="1">
      <alignment horizontal="center" shrinkToFit="0" vertical="center" wrapText="0"/>
    </xf>
    <xf borderId="0" fillId="0" fontId="35" numFmtId="0" xfId="0" applyAlignment="1" applyFont="1">
      <alignment horizontal="center" shrinkToFit="0" vertical="center" wrapText="0"/>
    </xf>
    <xf borderId="5" fillId="0" fontId="16" numFmtId="2" xfId="0" applyAlignment="1" applyBorder="1" applyFont="1" applyNumberFormat="1">
      <alignment horizontal="center" shrinkToFit="0" vertical="center" wrapText="0"/>
    </xf>
    <xf borderId="5" fillId="0" fontId="34" numFmtId="0" xfId="0" applyAlignment="1" applyBorder="1" applyFont="1">
      <alignment horizontal="center" shrinkToFit="0" vertical="center" wrapText="0"/>
    </xf>
    <xf borderId="5" fillId="0" fontId="34" numFmtId="2" xfId="0" applyAlignment="1" applyBorder="1" applyFont="1" applyNumberFormat="1">
      <alignment horizontal="center" shrinkToFit="0" vertical="center" wrapText="0"/>
    </xf>
    <xf borderId="5" fillId="0" fontId="34" numFmtId="165" xfId="0" applyAlignment="1" applyBorder="1" applyFont="1" applyNumberFormat="1">
      <alignment horizontal="center" shrinkToFit="0" vertical="bottom" wrapText="0"/>
    </xf>
    <xf borderId="5" fillId="0" fontId="34" numFmtId="165" xfId="0" applyAlignment="1" applyBorder="1" applyFont="1" applyNumberFormat="1">
      <alignment horizontal="center" shrinkToFit="0" vertical="center" wrapText="0"/>
    </xf>
    <xf borderId="5" fillId="0" fontId="25" numFmtId="165" xfId="0" applyAlignment="1" applyBorder="1" applyFont="1" applyNumberFormat="1">
      <alignment horizontal="center" shrinkToFit="0" vertical="center" wrapText="0"/>
    </xf>
    <xf borderId="5" fillId="0" fontId="16" numFmtId="0" xfId="0" applyAlignment="1" applyBorder="1" applyFont="1">
      <alignment shrinkToFit="0" vertical="center" wrapText="0"/>
    </xf>
    <xf borderId="5" fillId="0" fontId="25" numFmtId="2" xfId="0" applyAlignment="1" applyBorder="1" applyFont="1" applyNumberFormat="1">
      <alignment horizontal="center" shrinkToFit="0" vertical="center" wrapText="0"/>
    </xf>
    <xf borderId="0" fillId="0" fontId="35" numFmtId="2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14"/>
    <col customWidth="1" min="11" max="11" width="8.0"/>
  </cols>
  <sheetData>
    <row r="1" ht="18.0" customHeight="1">
      <c r="A1" s="1"/>
      <c r="B1" s="2"/>
      <c r="C1" s="3"/>
      <c r="D1" s="2" t="s">
        <v>0</v>
      </c>
      <c r="E1" s="2"/>
      <c r="F1" s="2"/>
      <c r="G1" s="2"/>
      <c r="H1" s="3"/>
      <c r="I1" s="4"/>
      <c r="J1" s="3"/>
      <c r="K1" s="5"/>
    </row>
    <row r="2" ht="18.0" customHeight="1">
      <c r="A2" s="6"/>
      <c r="B2" s="2"/>
      <c r="C2" s="2"/>
      <c r="D2" s="2"/>
      <c r="E2" s="2"/>
      <c r="F2" s="2"/>
      <c r="G2" s="2"/>
      <c r="H2" s="3"/>
      <c r="I2" s="4"/>
      <c r="J2" s="3"/>
      <c r="K2" s="5"/>
    </row>
    <row r="3" ht="18.0" customHeight="1">
      <c r="A3" s="6"/>
      <c r="B3" s="2"/>
      <c r="C3" s="2"/>
      <c r="D3" s="2"/>
      <c r="E3" s="2"/>
      <c r="F3" s="2"/>
      <c r="G3" s="2"/>
      <c r="H3" s="3"/>
      <c r="I3" s="4"/>
      <c r="J3" s="3"/>
      <c r="K3" s="5"/>
    </row>
    <row r="4" ht="18.0" customHeight="1">
      <c r="A4" s="1"/>
      <c r="B4" s="7" t="s">
        <v>1</v>
      </c>
      <c r="C4" s="2"/>
      <c r="D4" s="3"/>
      <c r="E4" s="2"/>
      <c r="F4" s="2"/>
      <c r="G4" s="2"/>
      <c r="H4" s="3"/>
      <c r="I4" s="4" t="s">
        <v>2</v>
      </c>
      <c r="J4" s="3"/>
      <c r="K4" s="5"/>
    </row>
    <row r="5" ht="18.0" customHeight="1">
      <c r="A5" s="6"/>
      <c r="B5" s="2"/>
      <c r="C5" s="2"/>
      <c r="D5" s="2"/>
      <c r="E5" s="2"/>
      <c r="F5" s="2"/>
      <c r="G5" s="2"/>
      <c r="H5" s="3"/>
      <c r="I5" s="4"/>
      <c r="J5" s="3"/>
      <c r="K5" s="5"/>
    </row>
    <row r="6" ht="18.0" customHeight="1">
      <c r="A6" s="6">
        <v>1.0</v>
      </c>
      <c r="B6" s="7" t="s">
        <v>3</v>
      </c>
      <c r="I6" s="4">
        <v>1.0</v>
      </c>
      <c r="J6" s="3"/>
      <c r="K6" s="5"/>
    </row>
    <row r="7" ht="18.0" customHeight="1">
      <c r="A7" s="6">
        <v>2.0</v>
      </c>
      <c r="B7" s="7" t="s">
        <v>4</v>
      </c>
      <c r="I7" s="4">
        <v>2.0</v>
      </c>
      <c r="J7" s="3"/>
      <c r="K7" s="5"/>
    </row>
    <row r="8" ht="18.0" customHeight="1">
      <c r="A8" s="6">
        <v>3.0</v>
      </c>
      <c r="B8" s="7" t="s">
        <v>5</v>
      </c>
      <c r="I8" s="4">
        <v>3.0</v>
      </c>
      <c r="J8" s="3"/>
      <c r="K8" s="5"/>
    </row>
    <row r="9" ht="18.0" customHeight="1">
      <c r="A9" s="6">
        <v>4.0</v>
      </c>
      <c r="B9" s="7" t="s">
        <v>6</v>
      </c>
      <c r="I9" s="4">
        <v>4.0</v>
      </c>
      <c r="J9" s="3"/>
      <c r="K9" s="5"/>
    </row>
    <row r="10" ht="18.0" customHeight="1">
      <c r="A10" s="6">
        <v>5.0</v>
      </c>
      <c r="B10" s="7" t="s">
        <v>7</v>
      </c>
      <c r="I10" s="4">
        <v>5.0</v>
      </c>
      <c r="J10" s="3"/>
      <c r="K10" s="5"/>
    </row>
    <row r="11" ht="18.0" customHeight="1">
      <c r="A11" s="6">
        <v>6.0</v>
      </c>
      <c r="B11" s="7" t="s">
        <v>8</v>
      </c>
      <c r="I11" s="4">
        <v>6.0</v>
      </c>
      <c r="J11" s="3"/>
      <c r="K11" s="5"/>
    </row>
    <row r="12" ht="18.0" customHeight="1">
      <c r="A12" s="6">
        <v>7.0</v>
      </c>
      <c r="B12" s="7" t="s">
        <v>9</v>
      </c>
      <c r="I12" s="4">
        <v>8.0</v>
      </c>
      <c r="J12" s="3"/>
      <c r="K12" s="5"/>
    </row>
    <row r="13" ht="18.0" customHeight="1">
      <c r="A13" s="6">
        <v>8.0</v>
      </c>
      <c r="B13" s="7" t="s">
        <v>10</v>
      </c>
      <c r="I13" s="4">
        <v>9.0</v>
      </c>
      <c r="J13" s="3"/>
      <c r="K13" s="5"/>
    </row>
    <row r="14" ht="18.0" customHeight="1">
      <c r="A14" s="6">
        <v>9.0</v>
      </c>
      <c r="B14" s="7" t="s">
        <v>11</v>
      </c>
      <c r="I14" s="4">
        <v>10.0</v>
      </c>
      <c r="J14" s="3"/>
      <c r="K14" s="5"/>
    </row>
    <row r="15" ht="18.0" customHeight="1">
      <c r="A15" s="6">
        <v>10.0</v>
      </c>
      <c r="B15" s="7" t="s">
        <v>12</v>
      </c>
      <c r="I15" s="4">
        <v>19.0</v>
      </c>
      <c r="J15" s="3"/>
      <c r="K15" s="5"/>
    </row>
    <row r="16" ht="18.0" customHeight="1">
      <c r="A16" s="6">
        <v>11.0</v>
      </c>
      <c r="B16" s="7" t="s">
        <v>13</v>
      </c>
      <c r="I16" s="4">
        <v>21.0</v>
      </c>
      <c r="J16" s="3"/>
      <c r="K16" s="5"/>
    </row>
    <row r="17" ht="18.0" customHeight="1">
      <c r="A17" s="6"/>
      <c r="B17" s="2"/>
      <c r="C17" s="2"/>
      <c r="D17" s="2"/>
      <c r="E17" s="2"/>
      <c r="F17" s="2"/>
      <c r="G17" s="2"/>
      <c r="H17" s="3"/>
      <c r="I17" s="4"/>
      <c r="J17" s="3"/>
      <c r="K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8"/>
      <c r="J18" s="5"/>
      <c r="K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8"/>
      <c r="J19" s="5"/>
      <c r="K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8"/>
      <c r="J20" s="5"/>
      <c r="K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8"/>
      <c r="J21" s="5"/>
      <c r="K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8"/>
      <c r="J22" s="5"/>
      <c r="K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8"/>
      <c r="J23" s="5"/>
      <c r="K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8"/>
      <c r="J24" s="5"/>
      <c r="K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8"/>
      <c r="J25" s="5"/>
      <c r="K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8"/>
      <c r="J26" s="5"/>
      <c r="K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8"/>
      <c r="J27" s="5"/>
      <c r="K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8"/>
      <c r="J28" s="5"/>
      <c r="K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8"/>
      <c r="J29" s="5"/>
      <c r="K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8"/>
      <c r="J30" s="5"/>
      <c r="K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8"/>
      <c r="J31" s="5"/>
      <c r="K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8"/>
      <c r="J32" s="5"/>
      <c r="K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8"/>
      <c r="J33" s="5"/>
      <c r="K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8"/>
      <c r="J34" s="5"/>
      <c r="K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8"/>
      <c r="J35" s="5"/>
      <c r="K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8"/>
      <c r="J36" s="5"/>
      <c r="K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8"/>
      <c r="J37" s="5"/>
      <c r="K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8"/>
      <c r="J38" s="5"/>
      <c r="K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8"/>
      <c r="J39" s="5"/>
      <c r="K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8"/>
      <c r="J40" s="5"/>
      <c r="K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8"/>
      <c r="J41" s="5"/>
      <c r="K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8"/>
      <c r="J42" s="5"/>
      <c r="K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8"/>
      <c r="J43" s="5"/>
      <c r="K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8"/>
      <c r="J44" s="5"/>
      <c r="K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8"/>
      <c r="J45" s="5"/>
      <c r="K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8"/>
      <c r="J46" s="5"/>
      <c r="K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8"/>
      <c r="J47" s="5"/>
      <c r="K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8"/>
      <c r="J48" s="5"/>
      <c r="K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8"/>
      <c r="J49" s="5"/>
      <c r="K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8"/>
      <c r="J50" s="5"/>
      <c r="K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8"/>
      <c r="J51" s="5"/>
      <c r="K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8"/>
      <c r="J52" s="5"/>
      <c r="K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8"/>
      <c r="J53" s="5"/>
      <c r="K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8"/>
      <c r="J54" s="5"/>
      <c r="K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8"/>
      <c r="J55" s="5"/>
      <c r="K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8"/>
      <c r="J56" s="5"/>
      <c r="K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8"/>
      <c r="J57" s="5"/>
      <c r="K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8"/>
      <c r="J58" s="5"/>
      <c r="K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8"/>
      <c r="J59" s="5"/>
      <c r="K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8"/>
      <c r="J60" s="5"/>
      <c r="K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8"/>
      <c r="J61" s="5"/>
      <c r="K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8"/>
      <c r="J62" s="5"/>
      <c r="K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8"/>
      <c r="J63" s="5"/>
      <c r="K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8"/>
      <c r="J64" s="5"/>
      <c r="K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8"/>
      <c r="J65" s="5"/>
      <c r="K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8"/>
      <c r="J66" s="5"/>
      <c r="K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8"/>
      <c r="J67" s="5"/>
      <c r="K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8"/>
      <c r="J68" s="5"/>
      <c r="K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8"/>
      <c r="J69" s="5"/>
      <c r="K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8"/>
      <c r="J70" s="5"/>
      <c r="K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8"/>
      <c r="J71" s="5"/>
      <c r="K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8"/>
      <c r="J72" s="5"/>
      <c r="K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8"/>
      <c r="J73" s="5"/>
      <c r="K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8"/>
      <c r="J74" s="5"/>
      <c r="K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8"/>
      <c r="J75" s="5"/>
      <c r="K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8"/>
      <c r="J76" s="5"/>
      <c r="K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8"/>
      <c r="J77" s="5"/>
      <c r="K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8"/>
      <c r="J78" s="5"/>
      <c r="K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8"/>
      <c r="J79" s="5"/>
      <c r="K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8"/>
      <c r="J80" s="5"/>
      <c r="K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8"/>
      <c r="J81" s="5"/>
      <c r="K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8"/>
      <c r="J82" s="5"/>
      <c r="K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8"/>
      <c r="J83" s="5"/>
      <c r="K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8"/>
      <c r="J84" s="5"/>
      <c r="K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8"/>
      <c r="J85" s="5"/>
      <c r="K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8"/>
      <c r="J86" s="5"/>
      <c r="K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8"/>
      <c r="J87" s="5"/>
      <c r="K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8"/>
      <c r="J88" s="5"/>
      <c r="K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8"/>
      <c r="J89" s="5"/>
      <c r="K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8"/>
      <c r="J90" s="5"/>
      <c r="K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8"/>
      <c r="J91" s="5"/>
      <c r="K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8"/>
      <c r="J92" s="5"/>
      <c r="K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8"/>
      <c r="J93" s="5"/>
      <c r="K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8"/>
      <c r="J94" s="5"/>
      <c r="K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8"/>
      <c r="J95" s="5"/>
      <c r="K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8"/>
      <c r="J96" s="5"/>
      <c r="K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8"/>
      <c r="J97" s="5"/>
      <c r="K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8"/>
      <c r="J98" s="5"/>
      <c r="K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8"/>
      <c r="J99" s="5"/>
      <c r="K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8"/>
      <c r="J100" s="5"/>
      <c r="K100" s="5"/>
    </row>
  </sheetData>
  <mergeCells count="11">
    <mergeCell ref="B11:H11"/>
    <mergeCell ref="B12:H12"/>
    <mergeCell ref="B7:H7"/>
    <mergeCell ref="B6:H6"/>
    <mergeCell ref="B14:H14"/>
    <mergeCell ref="B15:H15"/>
    <mergeCell ref="B16:H16"/>
    <mergeCell ref="B8:H8"/>
    <mergeCell ref="B9:H9"/>
    <mergeCell ref="B10:H10"/>
    <mergeCell ref="B13:H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14"/>
    <col customWidth="1" min="9" max="9" width="10.57"/>
    <col customWidth="1" min="10" max="19" width="9.14"/>
  </cols>
  <sheetData>
    <row r="1" ht="12.75" hidden="1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ht="13.5" hidden="1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ht="13.5" hidden="1" customHeight="1">
      <c r="A3" s="9"/>
      <c r="B3" s="10" t="s">
        <v>14</v>
      </c>
      <c r="C3" s="11"/>
      <c r="D3" s="11"/>
      <c r="E3" s="11"/>
      <c r="F3" s="11"/>
      <c r="G3" s="11"/>
      <c r="H3" s="11"/>
      <c r="I3" s="11"/>
      <c r="J3" s="12"/>
      <c r="K3" s="9"/>
      <c r="L3" s="9"/>
      <c r="M3" s="9"/>
      <c r="N3" s="9"/>
      <c r="O3" s="9"/>
      <c r="P3" s="9"/>
      <c r="Q3" s="9"/>
      <c r="R3" s="9"/>
      <c r="S3" s="9"/>
    </row>
    <row r="4" ht="12.75" hidden="1" customHeight="1">
      <c r="A4" s="9"/>
      <c r="B4" s="13"/>
      <c r="C4" s="14"/>
      <c r="D4" s="14"/>
      <c r="E4" s="14"/>
      <c r="F4" s="14"/>
      <c r="G4" s="14"/>
      <c r="H4" s="14"/>
      <c r="I4" s="14"/>
      <c r="J4" s="15"/>
      <c r="K4" s="9"/>
      <c r="L4" s="9"/>
      <c r="M4" s="9"/>
      <c r="N4" s="9"/>
      <c r="O4" s="9"/>
      <c r="P4" s="9"/>
      <c r="Q4" s="9"/>
      <c r="R4" s="9"/>
      <c r="S4" s="9"/>
    </row>
    <row r="5" ht="12.75" hidden="1" customHeight="1">
      <c r="A5" s="9"/>
      <c r="B5" s="13"/>
      <c r="C5" s="14"/>
      <c r="D5" s="14"/>
      <c r="E5" s="14"/>
      <c r="F5" s="14"/>
      <c r="G5" s="14"/>
      <c r="H5" s="14"/>
      <c r="I5" s="14"/>
      <c r="J5" s="15"/>
      <c r="K5" s="9"/>
      <c r="L5" s="9"/>
      <c r="M5" s="9"/>
      <c r="N5" s="9"/>
      <c r="O5" s="9"/>
      <c r="P5" s="9"/>
      <c r="Q5" s="9"/>
      <c r="R5" s="9"/>
      <c r="S5" s="9"/>
    </row>
    <row r="6" ht="12.75" hidden="1" customHeight="1">
      <c r="A6" s="9"/>
      <c r="B6" s="13" t="s">
        <v>15</v>
      </c>
      <c r="C6" s="14"/>
      <c r="D6" s="14"/>
      <c r="E6" s="14"/>
      <c r="F6" s="14"/>
      <c r="G6" s="14"/>
      <c r="H6" s="14"/>
      <c r="I6" s="14"/>
      <c r="J6" s="15"/>
      <c r="K6" s="9"/>
      <c r="L6" s="9"/>
      <c r="M6" s="9"/>
      <c r="N6" s="9"/>
      <c r="O6" s="9"/>
      <c r="P6" s="9"/>
      <c r="Q6" s="9"/>
      <c r="R6" s="9"/>
      <c r="S6" s="9"/>
    </row>
    <row r="7" ht="12.75" hidden="1" customHeight="1">
      <c r="A7" s="9"/>
      <c r="B7" s="13" t="s">
        <v>16</v>
      </c>
      <c r="C7" s="14"/>
      <c r="D7" s="14"/>
      <c r="E7" s="14"/>
      <c r="F7" s="14"/>
      <c r="G7" s="14"/>
      <c r="H7" s="14"/>
      <c r="I7" s="14"/>
      <c r="J7" s="15"/>
      <c r="K7" s="9"/>
      <c r="L7" s="9"/>
      <c r="M7" s="9"/>
      <c r="N7" s="9"/>
      <c r="O7" s="9"/>
      <c r="P7" s="9"/>
      <c r="Q7" s="9"/>
      <c r="R7" s="9"/>
      <c r="S7" s="9"/>
    </row>
    <row r="8" ht="12.75" hidden="1" customHeight="1">
      <c r="A8" s="9"/>
      <c r="B8" s="13"/>
      <c r="C8" s="14"/>
      <c r="D8" s="14"/>
      <c r="E8" s="14"/>
      <c r="F8" s="14"/>
      <c r="G8" s="14"/>
      <c r="H8" s="14"/>
      <c r="I8" s="14"/>
      <c r="J8" s="15"/>
      <c r="K8" s="9"/>
      <c r="L8" s="9"/>
      <c r="M8" s="9"/>
      <c r="N8" s="9"/>
      <c r="O8" s="9"/>
      <c r="P8" s="9"/>
      <c r="Q8" s="9"/>
      <c r="R8" s="9"/>
      <c r="S8" s="9"/>
    </row>
    <row r="9" ht="12.75" hidden="1" customHeight="1">
      <c r="A9" s="9"/>
      <c r="B9" s="13"/>
      <c r="C9" s="14"/>
      <c r="D9" s="14"/>
      <c r="E9" s="14"/>
      <c r="F9" s="14"/>
      <c r="G9" s="14"/>
      <c r="H9" s="14"/>
      <c r="I9" s="14"/>
      <c r="J9" s="15"/>
      <c r="K9" s="9"/>
      <c r="L9" s="9"/>
      <c r="M9" s="9"/>
      <c r="N9" s="9"/>
      <c r="O9" s="9"/>
      <c r="P9" s="9"/>
      <c r="Q9" s="9"/>
      <c r="R9" s="9"/>
      <c r="S9" s="9"/>
    </row>
    <row r="10" ht="12.75" hidden="1" customHeight="1">
      <c r="A10" s="9"/>
      <c r="B10" s="13" t="s">
        <v>17</v>
      </c>
      <c r="C10" s="14"/>
      <c r="D10" s="14"/>
      <c r="E10" s="14"/>
      <c r="F10" s="14"/>
      <c r="G10" s="14">
        <v>0.4531</v>
      </c>
      <c r="H10" s="14"/>
      <c r="I10" s="14"/>
      <c r="J10" s="15"/>
      <c r="K10" s="9"/>
      <c r="L10" s="9"/>
      <c r="M10" s="9"/>
      <c r="N10" s="9"/>
      <c r="O10" s="9"/>
      <c r="P10" s="9"/>
      <c r="Q10" s="9"/>
      <c r="R10" s="9"/>
      <c r="S10" s="9"/>
    </row>
    <row r="11" ht="12.75" hidden="1" customHeight="1">
      <c r="A11" s="9"/>
      <c r="B11" s="13"/>
      <c r="C11" s="14"/>
      <c r="D11" s="14"/>
      <c r="E11" s="14"/>
      <c r="F11" s="14"/>
      <c r="G11" s="14"/>
      <c r="H11" s="14"/>
      <c r="I11" s="14"/>
      <c r="J11" s="15"/>
      <c r="K11" s="9"/>
      <c r="L11" s="9"/>
      <c r="M11" s="9"/>
      <c r="N11" s="9"/>
      <c r="O11" s="9"/>
      <c r="P11" s="9"/>
      <c r="Q11" s="9"/>
      <c r="R11" s="9"/>
      <c r="S11" s="9"/>
    </row>
    <row r="12" ht="12.75" hidden="1" customHeight="1">
      <c r="A12" s="9"/>
      <c r="B12" s="13" t="s">
        <v>18</v>
      </c>
      <c r="C12" s="14"/>
      <c r="D12" s="14"/>
      <c r="E12" s="14"/>
      <c r="F12" s="16"/>
      <c r="G12" s="14">
        <v>-0.215</v>
      </c>
      <c r="H12" s="14"/>
      <c r="I12" s="14"/>
      <c r="J12" s="15"/>
      <c r="K12" s="9"/>
      <c r="L12" s="9"/>
      <c r="M12" s="9"/>
      <c r="N12" s="9"/>
      <c r="O12" s="9"/>
      <c r="P12" s="9"/>
      <c r="Q12" s="9"/>
      <c r="R12" s="9"/>
      <c r="S12" s="9"/>
    </row>
    <row r="13" ht="12.75" hidden="1" customHeight="1">
      <c r="A13" s="9"/>
      <c r="B13" s="13"/>
      <c r="C13" s="14"/>
      <c r="D13" s="14"/>
      <c r="E13" s="14"/>
      <c r="F13" s="14"/>
      <c r="G13" s="14"/>
      <c r="H13" s="14"/>
      <c r="I13" s="14"/>
      <c r="J13" s="15"/>
      <c r="K13" s="9"/>
      <c r="L13" s="9"/>
      <c r="M13" s="9"/>
      <c r="N13" s="9"/>
      <c r="O13" s="9"/>
      <c r="P13" s="9"/>
      <c r="Q13" s="9"/>
      <c r="R13" s="9"/>
      <c r="S13" s="9"/>
    </row>
    <row r="14" ht="12.75" hidden="1" customHeight="1">
      <c r="A14" s="9"/>
      <c r="B14" s="13" t="s">
        <v>19</v>
      </c>
      <c r="C14" s="14"/>
      <c r="D14" s="14"/>
      <c r="E14" s="14"/>
      <c r="F14" s="14" t="str">
        <f>G10+G12</f>
        <v>0.2381</v>
      </c>
      <c r="G14" s="14"/>
      <c r="H14" s="14"/>
      <c r="I14" s="14"/>
      <c r="J14" s="15"/>
      <c r="K14" s="9"/>
      <c r="L14" s="9"/>
      <c r="M14" s="9"/>
      <c r="N14" s="9"/>
      <c r="O14" s="9"/>
      <c r="P14" s="9"/>
      <c r="Q14" s="9"/>
      <c r="R14" s="9"/>
      <c r="S14" s="9"/>
    </row>
    <row r="15" ht="12.75" hidden="1" customHeight="1">
      <c r="A15" s="9"/>
      <c r="B15" s="13"/>
      <c r="C15" s="14"/>
      <c r="D15" s="14"/>
      <c r="E15" s="14"/>
      <c r="F15" s="14"/>
      <c r="G15" s="14"/>
      <c r="H15" s="14"/>
      <c r="I15" s="14"/>
      <c r="J15" s="15"/>
      <c r="K15" s="9"/>
      <c r="L15" s="9"/>
      <c r="M15" s="9"/>
      <c r="N15" s="9"/>
      <c r="O15" s="9"/>
      <c r="P15" s="9"/>
      <c r="Q15" s="9"/>
      <c r="R15" s="9"/>
      <c r="S15" s="9"/>
    </row>
    <row r="16" ht="12.75" hidden="1" customHeight="1">
      <c r="A16" s="9"/>
      <c r="B16" s="13"/>
      <c r="C16" s="14"/>
      <c r="D16" s="14"/>
      <c r="E16" s="14"/>
      <c r="F16" s="14"/>
      <c r="G16" s="14"/>
      <c r="H16" s="14"/>
      <c r="I16" s="14"/>
      <c r="J16" s="15"/>
      <c r="K16" s="9"/>
      <c r="L16" s="9"/>
      <c r="M16" s="9"/>
      <c r="N16" s="9"/>
      <c r="O16" s="9"/>
      <c r="P16" s="9"/>
      <c r="Q16" s="9"/>
      <c r="R16" s="9"/>
      <c r="S16" s="9"/>
    </row>
    <row r="17" ht="12.75" hidden="1" customHeight="1">
      <c r="A17" s="9"/>
      <c r="B17" s="13"/>
      <c r="C17" s="14" t="s">
        <v>20</v>
      </c>
      <c r="D17" s="14" t="str">
        <f>1+F14/1000</f>
        <v>1.0002381</v>
      </c>
      <c r="E17" s="14"/>
      <c r="F17" s="14"/>
      <c r="G17" s="14"/>
      <c r="H17" s="14"/>
      <c r="I17" s="14"/>
      <c r="J17" s="15"/>
      <c r="K17" s="9"/>
      <c r="L17" s="9"/>
      <c r="M17" s="9"/>
      <c r="N17" s="9"/>
      <c r="O17" s="9"/>
      <c r="P17" s="9"/>
      <c r="Q17" s="9"/>
      <c r="R17" s="9"/>
      <c r="S17" s="9"/>
    </row>
    <row r="18" ht="12.75" hidden="1" customHeight="1">
      <c r="A18" s="9"/>
      <c r="B18" s="13"/>
      <c r="C18" s="14"/>
      <c r="D18" s="14"/>
      <c r="E18" s="14"/>
      <c r="F18" s="14"/>
      <c r="G18" s="14"/>
      <c r="H18" s="14"/>
      <c r="I18" s="14"/>
      <c r="J18" s="15"/>
      <c r="K18" s="9"/>
      <c r="L18" s="9"/>
      <c r="M18" s="9"/>
      <c r="N18" s="9"/>
      <c r="O18" s="9"/>
      <c r="P18" s="9"/>
      <c r="Q18" s="9"/>
      <c r="R18" s="9"/>
      <c r="S18" s="9"/>
    </row>
    <row r="19" ht="12.75" hidden="1" customHeight="1">
      <c r="A19" s="9"/>
      <c r="B19" s="13"/>
      <c r="C19" s="17"/>
      <c r="D19" s="14"/>
      <c r="E19" s="14"/>
      <c r="F19" s="14"/>
      <c r="G19" s="14"/>
      <c r="H19" s="14"/>
      <c r="I19" s="14"/>
      <c r="J19" s="15"/>
      <c r="K19" s="9"/>
      <c r="L19" s="9"/>
      <c r="M19" s="9"/>
      <c r="N19" s="9"/>
      <c r="O19" s="9"/>
      <c r="P19" s="9"/>
      <c r="Q19" s="9"/>
      <c r="R19" s="9"/>
      <c r="S19" s="9"/>
    </row>
    <row r="20" ht="12.75" hidden="1" customHeight="1">
      <c r="A20" s="9"/>
      <c r="B20" s="13"/>
      <c r="C20" s="14"/>
      <c r="D20" s="14"/>
      <c r="E20" s="14"/>
      <c r="F20" s="14"/>
      <c r="G20" s="14"/>
      <c r="H20" s="14"/>
      <c r="I20" s="14"/>
      <c r="J20" s="15"/>
      <c r="K20" s="9"/>
      <c r="L20" s="9"/>
      <c r="M20" s="9"/>
      <c r="N20" s="9"/>
      <c r="O20" s="9"/>
      <c r="P20" s="9"/>
      <c r="Q20" s="9"/>
      <c r="R20" s="9"/>
      <c r="S20" s="9"/>
    </row>
    <row r="21" ht="12.75" hidden="1" customHeight="1">
      <c r="A21" s="9"/>
      <c r="B21" s="13"/>
      <c r="C21" s="14"/>
      <c r="D21" s="14"/>
      <c r="E21" s="14"/>
      <c r="F21" s="14"/>
      <c r="G21" s="14"/>
      <c r="H21" s="14"/>
      <c r="I21" s="14"/>
      <c r="J21" s="15"/>
      <c r="K21" s="9"/>
      <c r="L21" s="9"/>
      <c r="M21" s="9"/>
      <c r="N21" s="9"/>
      <c r="O21" s="9"/>
      <c r="P21" s="9"/>
      <c r="Q21" s="9"/>
      <c r="R21" s="9"/>
      <c r="S21" s="9"/>
    </row>
    <row r="22" ht="12.75" hidden="1" customHeight="1">
      <c r="A22" s="9"/>
      <c r="B22" s="13"/>
      <c r="C22" s="14"/>
      <c r="D22" s="14"/>
      <c r="E22" s="14"/>
      <c r="F22" s="14"/>
      <c r="G22" s="14"/>
      <c r="H22" s="14"/>
      <c r="I22" s="14"/>
      <c r="J22" s="15"/>
      <c r="K22" s="9"/>
      <c r="L22" s="9"/>
      <c r="M22" s="9"/>
      <c r="N22" s="9"/>
      <c r="O22" s="9"/>
      <c r="P22" s="9"/>
      <c r="Q22" s="9"/>
      <c r="R22" s="9"/>
      <c r="S22" s="9"/>
    </row>
    <row r="23" ht="12.75" hidden="1" customHeight="1">
      <c r="A23" s="9"/>
      <c r="B23" s="13"/>
      <c r="C23" s="14"/>
      <c r="D23" s="14"/>
      <c r="E23" s="14"/>
      <c r="F23" s="14"/>
      <c r="G23" s="14"/>
      <c r="H23" s="14"/>
      <c r="I23" s="14"/>
      <c r="J23" s="15"/>
      <c r="K23" s="9"/>
      <c r="L23" s="9"/>
      <c r="M23" s="9"/>
      <c r="N23" s="9"/>
      <c r="O23" s="9"/>
      <c r="P23" s="9"/>
      <c r="Q23" s="9"/>
      <c r="R23" s="9"/>
      <c r="S23" s="9"/>
    </row>
    <row r="24" ht="15.0" hidden="1" customHeight="1">
      <c r="A24" s="9"/>
      <c r="B24" s="18" t="s">
        <v>21</v>
      </c>
      <c r="C24" s="19" t="s">
        <v>22</v>
      </c>
      <c r="D24" s="20"/>
      <c r="E24" s="20"/>
      <c r="F24" s="20"/>
      <c r="G24" s="20"/>
      <c r="H24" s="20"/>
      <c r="I24" s="20"/>
      <c r="J24" s="21"/>
      <c r="K24" s="9"/>
      <c r="L24" s="9"/>
      <c r="M24" s="9"/>
      <c r="N24" s="9"/>
      <c r="O24" s="9"/>
      <c r="P24" s="9"/>
      <c r="Q24" s="9"/>
      <c r="R24" s="9"/>
      <c r="S24" s="9"/>
    </row>
    <row r="25" ht="15.75" hidden="1" customHeight="1">
      <c r="A25" s="9"/>
      <c r="B25" s="22"/>
      <c r="C25" s="23" t="s">
        <v>23</v>
      </c>
      <c r="D25" s="23"/>
      <c r="E25" s="23"/>
      <c r="F25" s="23"/>
      <c r="G25" s="24"/>
      <c r="H25" s="24"/>
      <c r="I25" s="24"/>
      <c r="J25" s="25"/>
      <c r="K25" s="9"/>
      <c r="L25" s="9"/>
      <c r="M25" s="9"/>
      <c r="N25" s="9"/>
      <c r="O25" s="9"/>
      <c r="P25" s="9"/>
      <c r="Q25" s="9"/>
      <c r="R25" s="9"/>
      <c r="S25" s="9"/>
    </row>
    <row r="26" ht="13.5" hidden="1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2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2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15.75" hidden="1" customHeight="1">
      <c r="A29" s="9"/>
      <c r="B29" s="9"/>
      <c r="C29" s="9"/>
      <c r="D29" s="9"/>
      <c r="E29" s="26"/>
      <c r="F29" s="26"/>
      <c r="G29" s="27" t="s">
        <v>24</v>
      </c>
      <c r="L29" s="26"/>
      <c r="M29" s="26"/>
      <c r="N29" s="3"/>
      <c r="O29" s="9"/>
      <c r="P29" s="9"/>
      <c r="Q29" s="9"/>
      <c r="R29" s="9"/>
      <c r="S29" s="9"/>
    </row>
    <row r="30" ht="15.0" hidden="1" customHeight="1">
      <c r="A30" s="9"/>
      <c r="B30" s="9"/>
      <c r="C30" s="9"/>
      <c r="D30" s="9"/>
      <c r="E30" s="26"/>
      <c r="F30" s="26"/>
      <c r="G30" s="26"/>
      <c r="H30" s="26"/>
      <c r="I30" s="26"/>
      <c r="J30" s="26"/>
      <c r="K30" s="26"/>
      <c r="L30" s="26"/>
      <c r="M30" s="26"/>
      <c r="N30" s="3"/>
      <c r="O30" s="9"/>
      <c r="P30" s="9"/>
      <c r="Q30" s="9"/>
      <c r="R30" s="9"/>
      <c r="S30" s="9"/>
    </row>
    <row r="31" ht="15.0" hidden="1" customHeight="1">
      <c r="A31" s="9"/>
      <c r="B31" s="9"/>
      <c r="C31" s="9"/>
      <c r="D31" s="9"/>
      <c r="E31" s="26"/>
      <c r="F31" s="26"/>
      <c r="G31" s="26"/>
      <c r="H31" s="26"/>
      <c r="I31" s="26"/>
      <c r="J31" s="26"/>
      <c r="K31" s="26"/>
      <c r="L31" s="26"/>
      <c r="M31" s="26"/>
      <c r="N31" s="3"/>
      <c r="O31" s="9"/>
      <c r="P31" s="9"/>
      <c r="Q31" s="9"/>
      <c r="R31" s="9"/>
      <c r="S31" s="9"/>
    </row>
    <row r="32" ht="15.75" hidden="1" customHeight="1">
      <c r="A32" s="9"/>
      <c r="B32" s="9"/>
      <c r="C32" s="9"/>
      <c r="D32" s="9"/>
      <c r="E32" s="28" t="s">
        <v>25</v>
      </c>
      <c r="F32" s="28"/>
      <c r="G32" s="28"/>
      <c r="H32" s="28"/>
      <c r="I32" s="28"/>
      <c r="J32" s="28"/>
      <c r="K32" s="28"/>
      <c r="L32" s="28"/>
      <c r="M32" s="28"/>
      <c r="N32" s="29"/>
      <c r="O32" s="9"/>
      <c r="P32" s="9"/>
      <c r="Q32" s="9"/>
      <c r="R32" s="9"/>
      <c r="S32" s="9"/>
    </row>
    <row r="33" ht="15.75" hidden="1" customHeight="1">
      <c r="A33" s="9"/>
      <c r="B33" s="9"/>
      <c r="C33" s="9"/>
      <c r="D33" s="9"/>
      <c r="E33" s="28" t="s">
        <v>26</v>
      </c>
      <c r="F33" s="28"/>
      <c r="G33" s="28"/>
      <c r="H33" s="28"/>
      <c r="I33" s="28"/>
      <c r="J33" s="28"/>
      <c r="K33" s="28"/>
      <c r="L33" s="28"/>
      <c r="M33" s="28"/>
      <c r="N33" s="29"/>
      <c r="O33" s="9"/>
      <c r="P33" s="9"/>
      <c r="Q33" s="9"/>
      <c r="R33" s="9"/>
      <c r="S33" s="9"/>
    </row>
    <row r="34" ht="15.75" hidden="1" customHeight="1">
      <c r="A34" s="9"/>
      <c r="B34" s="9"/>
      <c r="C34" s="9"/>
      <c r="D34" s="9"/>
      <c r="E34" s="30" t="s">
        <v>27</v>
      </c>
      <c r="F34" s="30"/>
      <c r="G34" s="30"/>
      <c r="H34" s="31"/>
      <c r="I34" s="31"/>
      <c r="J34" s="31"/>
      <c r="K34" s="31"/>
      <c r="L34" s="31"/>
      <c r="M34" s="31"/>
      <c r="N34" s="32"/>
      <c r="O34" s="9"/>
      <c r="P34" s="9"/>
      <c r="Q34" s="9"/>
      <c r="R34" s="9"/>
      <c r="S34" s="9"/>
    </row>
    <row r="35" ht="18.0" hidden="1" customHeight="1">
      <c r="A35" s="9"/>
      <c r="B35" s="9"/>
      <c r="C35" s="9"/>
      <c r="D35" s="9"/>
      <c r="E35" s="33"/>
      <c r="F35" s="33"/>
      <c r="G35" s="33"/>
      <c r="H35" s="33"/>
      <c r="I35" s="33"/>
      <c r="J35" s="33"/>
      <c r="K35" s="33"/>
      <c r="L35" s="33"/>
      <c r="M35" s="33"/>
      <c r="N35" s="34"/>
      <c r="O35" s="9"/>
      <c r="P35" s="9"/>
      <c r="Q35" s="9"/>
      <c r="R35" s="9"/>
      <c r="S35" s="9"/>
    </row>
    <row r="36" ht="18.0" hidden="1" customHeight="1">
      <c r="A36" s="9"/>
      <c r="B36" s="9"/>
      <c r="C36" s="9"/>
      <c r="D36" s="9"/>
      <c r="E36" s="32" t="s">
        <v>28</v>
      </c>
      <c r="H36" s="35" t="s">
        <v>29</v>
      </c>
      <c r="I36" s="36">
        <v>1220.0</v>
      </c>
      <c r="J36" s="37" t="s">
        <v>30</v>
      </c>
      <c r="L36" s="33"/>
      <c r="M36" s="33"/>
      <c r="N36" s="34"/>
      <c r="O36" s="9"/>
      <c r="P36" s="9"/>
      <c r="Q36" s="9"/>
      <c r="R36" s="9"/>
      <c r="S36" s="9"/>
    </row>
    <row r="37" ht="18.0" hidden="1" customHeight="1">
      <c r="A37" s="9"/>
      <c r="B37" s="9"/>
      <c r="C37" s="9"/>
      <c r="D37" s="9"/>
      <c r="E37" s="32"/>
      <c r="F37" s="32"/>
      <c r="G37" s="32"/>
      <c r="H37" s="35"/>
      <c r="I37" s="36"/>
      <c r="J37" s="35"/>
      <c r="K37" s="35"/>
      <c r="L37" s="33"/>
      <c r="M37" s="33"/>
      <c r="N37" s="34"/>
      <c r="O37" s="9"/>
      <c r="P37" s="9"/>
      <c r="Q37" s="9"/>
      <c r="R37" s="9"/>
      <c r="S37" s="9"/>
    </row>
    <row r="38" ht="18.0" hidden="1" customHeight="1">
      <c r="A38" s="9"/>
      <c r="B38" s="9"/>
      <c r="C38" s="9"/>
      <c r="D38" s="9"/>
      <c r="E38" s="32" t="s">
        <v>31</v>
      </c>
      <c r="H38" s="35" t="s">
        <v>29</v>
      </c>
      <c r="I38" s="38">
        <v>-0.1911</v>
      </c>
      <c r="J38" s="35"/>
      <c r="K38" s="35"/>
      <c r="L38" s="33"/>
      <c r="M38" s="33"/>
      <c r="N38" s="34"/>
      <c r="O38" s="9"/>
      <c r="P38" s="9"/>
      <c r="Q38" s="9"/>
      <c r="R38" s="9"/>
      <c r="S38" s="9"/>
    </row>
    <row r="39" ht="18.0" hidden="1" customHeight="1">
      <c r="A39" s="9"/>
      <c r="B39" s="9"/>
      <c r="C39" s="9"/>
      <c r="D39" s="9"/>
      <c r="E39" s="32"/>
      <c r="F39" s="32"/>
      <c r="G39" s="32"/>
      <c r="H39" s="35"/>
      <c r="I39" s="36"/>
      <c r="J39" s="35"/>
      <c r="K39" s="35"/>
      <c r="L39" s="33"/>
      <c r="M39" s="33"/>
      <c r="N39" s="34"/>
      <c r="O39" s="9"/>
      <c r="P39" s="9"/>
      <c r="Q39" s="9"/>
      <c r="R39" s="9"/>
      <c r="S39" s="9"/>
    </row>
    <row r="40" ht="18.0" hidden="1" customHeight="1">
      <c r="A40" s="9"/>
      <c r="B40" s="9"/>
      <c r="C40" s="9"/>
      <c r="D40" s="9"/>
      <c r="E40" s="32" t="s">
        <v>32</v>
      </c>
      <c r="H40" s="35" t="s">
        <v>29</v>
      </c>
      <c r="I40" s="38">
        <v>-0.3737</v>
      </c>
      <c r="J40" s="35"/>
      <c r="K40" s="35"/>
      <c r="L40" s="33"/>
      <c r="M40" s="33"/>
      <c r="N40" s="34"/>
      <c r="O40" s="9"/>
      <c r="P40" s="9"/>
      <c r="Q40" s="9"/>
      <c r="R40" s="9"/>
      <c r="S40" s="9"/>
    </row>
    <row r="41" ht="18.0" hidden="1" customHeight="1">
      <c r="A41" s="9"/>
      <c r="B41" s="9"/>
      <c r="C41" s="9"/>
      <c r="D41" s="9"/>
      <c r="E41" s="35"/>
      <c r="F41" s="35"/>
      <c r="G41" s="35"/>
      <c r="H41" s="35"/>
      <c r="I41" s="36"/>
      <c r="J41" s="35"/>
      <c r="K41" s="35"/>
      <c r="L41" s="33"/>
      <c r="M41" s="33"/>
      <c r="N41" s="34"/>
      <c r="O41" s="9"/>
      <c r="P41" s="9"/>
      <c r="Q41" s="9"/>
      <c r="R41" s="9"/>
      <c r="S41" s="9"/>
    </row>
    <row r="42" ht="18.0" hidden="1" customHeight="1">
      <c r="A42" s="9"/>
      <c r="B42" s="9"/>
      <c r="C42" s="9"/>
      <c r="D42" s="9"/>
      <c r="E42" s="32" t="s">
        <v>33</v>
      </c>
      <c r="H42" s="35" t="s">
        <v>29</v>
      </c>
      <c r="I42" s="38" t="str">
        <f>I38+I40</f>
        <v>-0.5648</v>
      </c>
      <c r="J42" s="35"/>
      <c r="K42" s="35"/>
      <c r="L42" s="33"/>
      <c r="M42" s="33"/>
      <c r="N42" s="34"/>
      <c r="O42" s="9"/>
      <c r="P42" s="9"/>
      <c r="Q42" s="9"/>
      <c r="R42" s="9"/>
      <c r="S42" s="9"/>
    </row>
    <row r="43" ht="18.0" hidden="1" customHeight="1">
      <c r="A43" s="9"/>
      <c r="B43" s="9"/>
      <c r="C43" s="9"/>
      <c r="D43" s="9"/>
      <c r="E43" s="35"/>
      <c r="F43" s="35"/>
      <c r="G43" s="35"/>
      <c r="H43" s="35"/>
      <c r="I43" s="36"/>
      <c r="J43" s="35"/>
      <c r="K43" s="35"/>
      <c r="L43" s="33"/>
      <c r="M43" s="33"/>
      <c r="N43" s="34"/>
      <c r="O43" s="9"/>
      <c r="P43" s="9"/>
      <c r="Q43" s="9"/>
      <c r="R43" s="9"/>
      <c r="S43" s="9"/>
    </row>
    <row r="44" ht="18.0" hidden="1" customHeight="1">
      <c r="A44" s="9"/>
      <c r="B44" s="9"/>
      <c r="C44" s="9"/>
      <c r="D44" s="9"/>
      <c r="E44" s="32" t="s">
        <v>34</v>
      </c>
      <c r="H44" s="35" t="s">
        <v>29</v>
      </c>
      <c r="I44" s="36" t="str">
        <f>(1+I42/1000)</f>
        <v>0.9994352</v>
      </c>
      <c r="J44" s="35"/>
      <c r="K44" s="35"/>
      <c r="L44" s="33"/>
      <c r="M44" s="33"/>
      <c r="N44" s="34"/>
      <c r="O44" s="9"/>
      <c r="P44" s="9"/>
      <c r="Q44" s="9"/>
      <c r="R44" s="9"/>
      <c r="S44" s="9"/>
    </row>
    <row r="45" ht="15.75" hidden="1" customHeight="1">
      <c r="A45" s="9"/>
      <c r="B45" s="9"/>
      <c r="C45" s="9"/>
      <c r="D45" s="9"/>
      <c r="E45" s="35"/>
      <c r="F45" s="35"/>
      <c r="G45" s="35"/>
      <c r="H45" s="35"/>
      <c r="I45" s="35"/>
      <c r="J45" s="35"/>
      <c r="K45" s="35"/>
      <c r="L45" s="35"/>
      <c r="M45" s="35"/>
      <c r="N45" s="34"/>
      <c r="O45" s="9"/>
      <c r="P45" s="9"/>
      <c r="Q45" s="9"/>
      <c r="R45" s="9"/>
      <c r="S45" s="9"/>
    </row>
    <row r="46" ht="13.5" hidden="1" customHeight="1">
      <c r="A46" s="9"/>
      <c r="B46" s="9"/>
      <c r="C46" s="9"/>
      <c r="D46" s="9"/>
      <c r="E46" s="39" t="s">
        <v>21</v>
      </c>
      <c r="F46" s="39"/>
      <c r="G46" s="39"/>
      <c r="H46" s="39"/>
      <c r="I46" s="39"/>
      <c r="J46" s="39"/>
      <c r="K46" s="39"/>
      <c r="L46" s="39"/>
      <c r="M46" s="39"/>
      <c r="N46" s="39"/>
      <c r="O46" s="9"/>
      <c r="P46" s="9"/>
      <c r="Q46" s="9"/>
      <c r="R46" s="9"/>
      <c r="S46" s="9"/>
    </row>
    <row r="47" ht="13.5" hidden="1" customHeight="1">
      <c r="A47" s="9"/>
      <c r="B47" s="9"/>
      <c r="C47" s="9"/>
      <c r="D47" s="9"/>
      <c r="E47" s="39" t="s">
        <v>35</v>
      </c>
      <c r="O47" s="9"/>
      <c r="P47" s="9"/>
      <c r="Q47" s="9"/>
      <c r="R47" s="9"/>
      <c r="S47" s="9"/>
    </row>
    <row r="48" ht="13.5" hidden="1" customHeight="1">
      <c r="A48" s="9"/>
      <c r="B48" s="9"/>
      <c r="C48" s="9"/>
      <c r="D48" s="9"/>
      <c r="E48" s="39" t="s">
        <v>36</v>
      </c>
      <c r="O48" s="9"/>
      <c r="P48" s="9"/>
      <c r="Q48" s="9"/>
      <c r="R48" s="9"/>
      <c r="S48" s="9"/>
    </row>
    <row r="49" ht="12.75" hidden="1" customHeight="1">
      <c r="A49" s="9"/>
      <c r="B49" s="9"/>
      <c r="C49" s="9"/>
      <c r="D49" s="9"/>
      <c r="E49" s="3"/>
      <c r="F49" s="3"/>
      <c r="G49" s="3"/>
      <c r="H49" s="3"/>
      <c r="I49" s="3"/>
      <c r="J49" s="3"/>
      <c r="K49" s="3"/>
      <c r="L49" s="3"/>
      <c r="M49" s="3"/>
      <c r="N49" s="3"/>
      <c r="O49" s="9"/>
      <c r="P49" s="9"/>
      <c r="Q49" s="9"/>
      <c r="R49" s="9"/>
      <c r="S49" s="9"/>
    </row>
    <row r="50" ht="12.75" hidden="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ht="12.75" hidden="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ht="12.75" hidden="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ht="12.75" hidden="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ht="12.75" hidden="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ht="12.75" hidden="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ht="18.0" hidden="1" customHeight="1">
      <c r="A56" s="9"/>
      <c r="B56" s="9"/>
      <c r="C56" s="9"/>
      <c r="D56" s="9"/>
      <c r="E56" s="9"/>
      <c r="F56" s="9"/>
      <c r="G56" s="9"/>
      <c r="H56" s="9"/>
      <c r="I56" s="9"/>
      <c r="J56" s="26"/>
      <c r="K56" s="26"/>
      <c r="L56" s="27" t="s">
        <v>24</v>
      </c>
      <c r="Q56" s="26"/>
      <c r="R56" s="26"/>
      <c r="S56" s="3"/>
    </row>
    <row r="57" ht="15.0" hidden="1" customHeight="1">
      <c r="A57" s="9"/>
      <c r="B57" s="9"/>
      <c r="C57" s="9"/>
      <c r="D57" s="9"/>
      <c r="E57" s="9"/>
      <c r="F57" s="9"/>
      <c r="G57" s="9"/>
      <c r="H57" s="9"/>
      <c r="I57" s="9"/>
      <c r="J57" s="26"/>
      <c r="K57" s="26"/>
      <c r="L57" s="26"/>
      <c r="M57" s="26"/>
      <c r="N57" s="26"/>
      <c r="O57" s="26"/>
      <c r="P57" s="26"/>
      <c r="Q57" s="26"/>
      <c r="R57" s="26"/>
      <c r="S57" s="3"/>
    </row>
    <row r="58" ht="15.0" hidden="1" customHeight="1">
      <c r="A58" s="9"/>
      <c r="B58" s="9"/>
      <c r="C58" s="9"/>
      <c r="D58" s="9"/>
      <c r="E58" s="9"/>
      <c r="F58" s="9"/>
      <c r="G58" s="9"/>
      <c r="H58" s="9"/>
      <c r="I58" s="9"/>
      <c r="J58" s="26"/>
      <c r="K58" s="26"/>
      <c r="L58" s="26"/>
      <c r="M58" s="26"/>
      <c r="N58" s="26"/>
      <c r="O58" s="26"/>
      <c r="P58" s="26"/>
      <c r="Q58" s="26"/>
      <c r="R58" s="26"/>
      <c r="S58" s="3"/>
    </row>
    <row r="59" ht="15.75" hidden="1" customHeight="1">
      <c r="A59" s="9"/>
      <c r="B59" s="9"/>
      <c r="C59" s="9"/>
      <c r="D59" s="9"/>
      <c r="E59" s="9"/>
      <c r="F59" s="9"/>
      <c r="G59" s="9"/>
      <c r="H59" s="9"/>
      <c r="I59" s="9"/>
      <c r="J59" s="28" t="s">
        <v>25</v>
      </c>
      <c r="K59" s="28"/>
      <c r="L59" s="28"/>
      <c r="M59" s="28"/>
      <c r="N59" s="28"/>
      <c r="O59" s="28"/>
      <c r="P59" s="28"/>
      <c r="Q59" s="28"/>
      <c r="R59" s="28"/>
      <c r="S59" s="29"/>
    </row>
    <row r="60" ht="15.75" hidden="1" customHeight="1">
      <c r="A60" s="9"/>
      <c r="B60" s="9"/>
      <c r="C60" s="9"/>
      <c r="D60" s="9"/>
      <c r="E60" s="9"/>
      <c r="F60" s="9"/>
      <c r="G60" s="9"/>
      <c r="H60" s="9"/>
      <c r="I60" s="9"/>
      <c r="J60" s="28" t="s">
        <v>26</v>
      </c>
      <c r="K60" s="28"/>
      <c r="L60" s="28"/>
      <c r="M60" s="28"/>
      <c r="N60" s="28"/>
      <c r="O60" s="28"/>
      <c r="P60" s="28"/>
      <c r="Q60" s="28"/>
      <c r="R60" s="28"/>
      <c r="S60" s="29"/>
    </row>
    <row r="61" ht="15.75" hidden="1" customHeight="1">
      <c r="A61" s="9"/>
      <c r="B61" s="9"/>
      <c r="C61" s="9"/>
      <c r="D61" s="9"/>
      <c r="E61" s="9"/>
      <c r="F61" s="9"/>
      <c r="G61" s="9"/>
      <c r="H61" s="9"/>
      <c r="I61" s="9"/>
      <c r="J61" s="30" t="s">
        <v>27</v>
      </c>
      <c r="K61" s="30"/>
      <c r="L61" s="30"/>
      <c r="M61" s="31"/>
      <c r="N61" s="31"/>
      <c r="O61" s="31"/>
      <c r="P61" s="31"/>
      <c r="Q61" s="31"/>
      <c r="R61" s="31"/>
      <c r="S61" s="32"/>
    </row>
    <row r="62" ht="18.0" hidden="1" customHeight="1">
      <c r="A62" s="9"/>
      <c r="B62" s="9"/>
      <c r="C62" s="9"/>
      <c r="D62" s="9"/>
      <c r="E62" s="9"/>
      <c r="F62" s="9"/>
      <c r="G62" s="9"/>
      <c r="H62" s="9"/>
      <c r="I62" s="9"/>
      <c r="J62" s="33"/>
      <c r="K62" s="33"/>
      <c r="L62" s="33"/>
      <c r="M62" s="33"/>
      <c r="N62" s="33"/>
      <c r="O62" s="33"/>
      <c r="P62" s="33"/>
      <c r="Q62" s="33"/>
      <c r="R62" s="33"/>
      <c r="S62" s="34"/>
    </row>
    <row r="63" ht="18.0" hidden="1" customHeight="1">
      <c r="A63" s="9"/>
      <c r="B63" s="9"/>
      <c r="C63" s="9"/>
      <c r="D63" s="9"/>
      <c r="E63" s="9"/>
      <c r="F63" s="9"/>
      <c r="G63" s="9"/>
      <c r="H63" s="9"/>
      <c r="I63" s="9"/>
      <c r="J63" s="32" t="s">
        <v>28</v>
      </c>
      <c r="M63" s="35" t="s">
        <v>29</v>
      </c>
      <c r="N63" s="36">
        <v>1220.0</v>
      </c>
      <c r="O63" s="37" t="s">
        <v>30</v>
      </c>
      <c r="Q63" s="33"/>
      <c r="R63" s="33"/>
      <c r="S63" s="34"/>
    </row>
    <row r="64" ht="18.0" hidden="1" customHeight="1">
      <c r="A64" s="9"/>
      <c r="B64" s="9"/>
      <c r="C64" s="9"/>
      <c r="D64" s="9"/>
      <c r="E64" s="9"/>
      <c r="F64" s="9"/>
      <c r="G64" s="9"/>
      <c r="H64" s="9"/>
      <c r="I64" s="9"/>
      <c r="J64" s="32"/>
      <c r="K64" s="32"/>
      <c r="L64" s="32"/>
      <c r="M64" s="35"/>
      <c r="N64" s="36"/>
      <c r="O64" s="35"/>
      <c r="P64" s="35"/>
      <c r="Q64" s="33"/>
      <c r="R64" s="33"/>
      <c r="S64" s="34"/>
    </row>
    <row r="65" ht="18.0" hidden="1" customHeight="1">
      <c r="A65" s="9"/>
      <c r="B65" s="9"/>
      <c r="C65" s="9"/>
      <c r="D65" s="9"/>
      <c r="E65" s="9"/>
      <c r="F65" s="9"/>
      <c r="G65" s="9"/>
      <c r="H65" s="9"/>
      <c r="I65" s="9"/>
      <c r="J65" s="32" t="s">
        <v>31</v>
      </c>
      <c r="M65" s="35" t="s">
        <v>29</v>
      </c>
      <c r="N65" s="38">
        <v>-0.1911</v>
      </c>
      <c r="O65" s="35"/>
      <c r="P65" s="35"/>
      <c r="Q65" s="33"/>
      <c r="R65" s="33"/>
      <c r="S65" s="34"/>
    </row>
    <row r="66" ht="18.0" hidden="1" customHeight="1">
      <c r="A66" s="9"/>
      <c r="B66" s="9"/>
      <c r="C66" s="9"/>
      <c r="D66" s="9"/>
      <c r="E66" s="9"/>
      <c r="F66" s="9"/>
      <c r="G66" s="9"/>
      <c r="H66" s="9"/>
      <c r="I66" s="9"/>
      <c r="J66" s="32"/>
      <c r="K66" s="32"/>
      <c r="L66" s="32"/>
      <c r="M66" s="35"/>
      <c r="N66" s="36"/>
      <c r="O66" s="35"/>
      <c r="P66" s="35"/>
      <c r="Q66" s="33"/>
      <c r="R66" s="33"/>
      <c r="S66" s="34"/>
    </row>
    <row r="67" ht="18.0" hidden="1" customHeight="1">
      <c r="A67" s="9"/>
      <c r="B67" s="9"/>
      <c r="C67" s="9"/>
      <c r="D67" s="9"/>
      <c r="E67" s="9"/>
      <c r="F67" s="9"/>
      <c r="G67" s="9"/>
      <c r="H67" s="9"/>
      <c r="I67" s="9"/>
      <c r="J67" s="32" t="s">
        <v>32</v>
      </c>
      <c r="M67" s="35" t="s">
        <v>29</v>
      </c>
      <c r="N67" s="38">
        <v>-0.3737</v>
      </c>
      <c r="O67" s="35"/>
      <c r="P67" s="35"/>
      <c r="Q67" s="33"/>
      <c r="R67" s="33"/>
      <c r="S67" s="34"/>
    </row>
    <row r="68" ht="18.0" hidden="1" customHeight="1">
      <c r="A68" s="9"/>
      <c r="B68" s="9"/>
      <c r="C68" s="9"/>
      <c r="D68" s="9"/>
      <c r="E68" s="9"/>
      <c r="F68" s="9"/>
      <c r="G68" s="9"/>
      <c r="H68" s="9"/>
      <c r="I68" s="9"/>
      <c r="J68" s="35"/>
      <c r="K68" s="35"/>
      <c r="L68" s="35"/>
      <c r="M68" s="35"/>
      <c r="N68" s="36"/>
      <c r="O68" s="35"/>
      <c r="P68" s="35"/>
      <c r="Q68" s="33"/>
      <c r="R68" s="33"/>
      <c r="S68" s="34"/>
    </row>
    <row r="69" ht="18.0" hidden="1" customHeight="1">
      <c r="A69" s="9"/>
      <c r="B69" s="9"/>
      <c r="C69" s="9"/>
      <c r="D69" s="9"/>
      <c r="E69" s="9"/>
      <c r="F69" s="9"/>
      <c r="G69" s="9"/>
      <c r="H69" s="9"/>
      <c r="I69" s="9"/>
      <c r="J69" s="32" t="s">
        <v>33</v>
      </c>
      <c r="M69" s="35" t="s">
        <v>29</v>
      </c>
      <c r="N69" s="38" t="str">
        <f>N65+N67</f>
        <v>-0.5648</v>
      </c>
      <c r="O69" s="35"/>
      <c r="P69" s="35"/>
      <c r="Q69" s="33"/>
      <c r="R69" s="33"/>
      <c r="S69" s="34"/>
    </row>
    <row r="70" ht="18.0" hidden="1" customHeight="1">
      <c r="A70" s="9"/>
      <c r="B70" s="9"/>
      <c r="C70" s="9"/>
      <c r="D70" s="9"/>
      <c r="E70" s="9"/>
      <c r="F70" s="9"/>
      <c r="G70" s="9"/>
      <c r="H70" s="9"/>
      <c r="I70" s="9"/>
      <c r="J70" s="35"/>
      <c r="K70" s="35"/>
      <c r="L70" s="35"/>
      <c r="M70" s="35"/>
      <c r="N70" s="36"/>
      <c r="O70" s="35"/>
      <c r="P70" s="35"/>
      <c r="Q70" s="33"/>
      <c r="R70" s="33"/>
      <c r="S70" s="34"/>
    </row>
    <row r="71" ht="18.0" hidden="1" customHeight="1">
      <c r="A71" s="9"/>
      <c r="B71" s="9"/>
      <c r="C71" s="9"/>
      <c r="D71" s="9"/>
      <c r="E71" s="9"/>
      <c r="F71" s="9"/>
      <c r="G71" s="9"/>
      <c r="H71" s="9"/>
      <c r="I71" s="9"/>
      <c r="J71" s="32" t="s">
        <v>34</v>
      </c>
      <c r="M71" s="35" t="s">
        <v>29</v>
      </c>
      <c r="N71" s="36" t="str">
        <f>(1+N69/1000)</f>
        <v>0.9994352</v>
      </c>
      <c r="O71" s="35"/>
      <c r="P71" s="35"/>
      <c r="Q71" s="33"/>
      <c r="R71" s="33"/>
      <c r="S71" s="34"/>
    </row>
    <row r="72" ht="15.75" hidden="1" customHeight="1">
      <c r="A72" s="9"/>
      <c r="B72" s="9"/>
      <c r="C72" s="9"/>
      <c r="D72" s="9"/>
      <c r="E72" s="9"/>
      <c r="F72" s="9"/>
      <c r="G72" s="9"/>
      <c r="H72" s="9"/>
      <c r="I72" s="9"/>
      <c r="J72" s="35"/>
      <c r="K72" s="35"/>
      <c r="L72" s="35"/>
      <c r="M72" s="35"/>
      <c r="N72" s="35"/>
      <c r="O72" s="35"/>
      <c r="P72" s="35"/>
      <c r="Q72" s="35"/>
      <c r="R72" s="35"/>
      <c r="S72" s="34"/>
    </row>
    <row r="73" ht="13.5" hidden="1" customHeight="1">
      <c r="A73" s="9"/>
      <c r="B73" s="9"/>
      <c r="C73" s="9"/>
      <c r="D73" s="9"/>
      <c r="E73" s="9"/>
      <c r="F73" s="9"/>
      <c r="G73" s="9"/>
      <c r="H73" s="9"/>
      <c r="I73" s="9"/>
      <c r="J73" s="39" t="s">
        <v>21</v>
      </c>
      <c r="K73" s="39"/>
      <c r="L73" s="39"/>
      <c r="M73" s="39"/>
      <c r="N73" s="39"/>
      <c r="O73" s="39"/>
      <c r="P73" s="39"/>
      <c r="Q73" s="39"/>
      <c r="R73" s="39"/>
      <c r="S73" s="39"/>
    </row>
    <row r="74" ht="13.5" hidden="1" customHeight="1">
      <c r="A74" s="9"/>
      <c r="B74" s="9"/>
      <c r="C74" s="9"/>
      <c r="D74" s="9"/>
      <c r="E74" s="9"/>
      <c r="F74" s="9"/>
      <c r="G74" s="9"/>
      <c r="H74" s="9"/>
      <c r="I74" s="9"/>
      <c r="J74" s="39" t="s">
        <v>35</v>
      </c>
    </row>
    <row r="75" ht="13.5" hidden="1" customHeight="1">
      <c r="A75" s="9"/>
      <c r="B75" s="9"/>
      <c r="C75" s="9"/>
      <c r="D75" s="9"/>
      <c r="E75" s="9"/>
      <c r="F75" s="9"/>
      <c r="G75" s="9"/>
      <c r="H75" s="9"/>
      <c r="I75" s="9"/>
      <c r="J75" s="39" t="s">
        <v>36</v>
      </c>
    </row>
    <row r="76" ht="12.75" hidden="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ht="12.75" hidden="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ht="13.5" customHeight="1">
      <c r="A79" s="9"/>
      <c r="B79" s="40"/>
      <c r="C79" s="41"/>
      <c r="D79" s="41"/>
      <c r="E79" s="41"/>
      <c r="F79" s="41"/>
      <c r="G79" s="41"/>
      <c r="H79" s="41"/>
      <c r="I79" s="42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ht="18.0" customHeight="1">
      <c r="A80" s="9"/>
      <c r="B80" s="43"/>
      <c r="C80" s="26"/>
      <c r="D80" s="44" t="s">
        <v>24</v>
      </c>
      <c r="E80" s="44"/>
      <c r="F80" s="44"/>
      <c r="G80" s="44"/>
      <c r="H80" s="44"/>
      <c r="I80" s="45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ht="15.0" customHeight="1">
      <c r="A81" s="9"/>
      <c r="B81" s="43"/>
      <c r="C81" s="26"/>
      <c r="D81" s="26"/>
      <c r="E81" s="26"/>
      <c r="F81" s="26"/>
      <c r="G81" s="26"/>
      <c r="H81" s="26"/>
      <c r="I81" s="45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ht="15.0" customHeight="1">
      <c r="A82" s="9"/>
      <c r="B82" s="43"/>
      <c r="C82" s="26"/>
      <c r="D82" s="26"/>
      <c r="E82" s="26"/>
      <c r="F82" s="26"/>
      <c r="G82" s="26"/>
      <c r="H82" s="26"/>
      <c r="I82" s="45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ht="14.25" customHeight="1">
      <c r="A83" s="9"/>
      <c r="B83" s="46" t="s">
        <v>37</v>
      </c>
      <c r="I83" s="47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ht="14.25" customHeight="1">
      <c r="A84" s="9"/>
      <c r="B84" s="46" t="s">
        <v>38</v>
      </c>
      <c r="I84" s="47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ht="14.25" customHeight="1">
      <c r="A85" s="9"/>
      <c r="B85" s="46" t="s">
        <v>27</v>
      </c>
      <c r="D85" s="30"/>
      <c r="E85" s="31"/>
      <c r="F85" s="31"/>
      <c r="G85" s="31"/>
      <c r="H85" s="31"/>
      <c r="I85" s="48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ht="18.0" customHeight="1">
      <c r="A86" s="9"/>
      <c r="B86" s="49"/>
      <c r="C86" s="33"/>
      <c r="D86" s="33"/>
      <c r="E86" s="33"/>
      <c r="F86" s="33"/>
      <c r="G86" s="33"/>
      <c r="H86" s="33"/>
      <c r="I86" s="50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ht="18.0" customHeight="1">
      <c r="A87" s="9"/>
      <c r="B87" s="51" t="s">
        <v>28</v>
      </c>
      <c r="E87" s="35" t="s">
        <v>29</v>
      </c>
      <c r="F87" s="36">
        <v>1220.0</v>
      </c>
      <c r="G87" s="37" t="s">
        <v>39</v>
      </c>
      <c r="I87" s="50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ht="18.0" customHeight="1">
      <c r="A88" s="9"/>
      <c r="B88" s="51"/>
      <c r="C88" s="32"/>
      <c r="D88" s="32"/>
      <c r="E88" s="35"/>
      <c r="F88" s="36"/>
      <c r="G88" s="35"/>
      <c r="H88" s="35"/>
      <c r="I88" s="50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ht="18.0" customHeight="1">
      <c r="A89" s="9"/>
      <c r="B89" s="51" t="s">
        <v>31</v>
      </c>
      <c r="E89" s="35" t="s">
        <v>29</v>
      </c>
      <c r="F89" s="38">
        <v>-0.1911</v>
      </c>
      <c r="G89" s="35"/>
      <c r="H89" s="35"/>
      <c r="I89" s="50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ht="18.0" customHeight="1">
      <c r="A90" s="9"/>
      <c r="B90" s="51"/>
      <c r="C90" s="32"/>
      <c r="D90" s="32"/>
      <c r="E90" s="35"/>
      <c r="F90" s="36"/>
      <c r="G90" s="35"/>
      <c r="H90" s="35"/>
      <c r="I90" s="50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ht="18.0" customHeight="1">
      <c r="A91" s="9"/>
      <c r="B91" s="51" t="s">
        <v>32</v>
      </c>
      <c r="E91" s="35" t="s">
        <v>29</v>
      </c>
      <c r="F91" s="38">
        <v>-0.3737</v>
      </c>
      <c r="G91" s="35"/>
      <c r="H91" s="35"/>
      <c r="I91" s="50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ht="18.0" customHeight="1">
      <c r="A92" s="9"/>
      <c r="B92" s="52"/>
      <c r="C92" s="35"/>
      <c r="D92" s="35"/>
      <c r="E92" s="35"/>
      <c r="F92" s="36"/>
      <c r="G92" s="35"/>
      <c r="H92" s="35"/>
      <c r="I92" s="50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ht="18.0" customHeight="1">
      <c r="A93" s="9"/>
      <c r="B93" s="51" t="s">
        <v>33</v>
      </c>
      <c r="E93" s="35" t="s">
        <v>29</v>
      </c>
      <c r="F93" s="38" t="str">
        <f>F89+F91</f>
        <v>-0.5648</v>
      </c>
      <c r="G93" s="35"/>
      <c r="H93" s="35"/>
      <c r="I93" s="50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ht="18.0" customHeight="1">
      <c r="A94" s="9"/>
      <c r="B94" s="52"/>
      <c r="C94" s="35"/>
      <c r="D94" s="35"/>
      <c r="E94" s="35"/>
      <c r="F94" s="36"/>
      <c r="G94" s="35"/>
      <c r="H94" s="35"/>
      <c r="I94" s="50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ht="18.0" customHeight="1">
      <c r="A95" s="9"/>
      <c r="B95" s="51" t="s">
        <v>34</v>
      </c>
      <c r="E95" s="35" t="s">
        <v>29</v>
      </c>
      <c r="F95" s="36" t="str">
        <f>(1+F93/1000)</f>
        <v>0.9994352</v>
      </c>
      <c r="G95" s="35"/>
      <c r="H95" s="35"/>
      <c r="I95" s="50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ht="15.75" customHeight="1">
      <c r="A96" s="9"/>
      <c r="B96" s="52"/>
      <c r="C96" s="35"/>
      <c r="D96" s="35"/>
      <c r="E96" s="35"/>
      <c r="F96" s="35"/>
      <c r="G96" s="35"/>
      <c r="H96" s="35"/>
      <c r="I96" s="53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ht="13.5" customHeight="1">
      <c r="A97" s="9"/>
      <c r="B97" s="54" t="s">
        <v>21</v>
      </c>
      <c r="C97" s="34"/>
      <c r="D97" s="34"/>
      <c r="E97" s="34"/>
      <c r="F97" s="34"/>
      <c r="G97" s="34"/>
      <c r="H97" s="34"/>
      <c r="I97" s="55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ht="13.5" customHeight="1">
      <c r="A98" s="9"/>
      <c r="B98" s="54" t="s">
        <v>35</v>
      </c>
      <c r="I98" s="47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ht="13.5" customHeight="1">
      <c r="A99" s="9"/>
      <c r="B99" s="54" t="s">
        <v>36</v>
      </c>
      <c r="C99" s="39"/>
      <c r="D99" s="39"/>
      <c r="E99" s="39"/>
      <c r="F99" s="39"/>
      <c r="G99" s="34"/>
      <c r="H99" s="34"/>
      <c r="I99" s="55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ht="13.5" customHeight="1">
      <c r="A100" s="9"/>
      <c r="B100" s="56"/>
      <c r="C100" s="57"/>
      <c r="D100" s="57"/>
      <c r="E100" s="57"/>
      <c r="F100" s="57"/>
      <c r="G100" s="57"/>
      <c r="H100" s="57"/>
      <c r="I100" s="58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</sheetData>
  <mergeCells count="29">
    <mergeCell ref="E36:G36"/>
    <mergeCell ref="J36:K36"/>
    <mergeCell ref="E40:G40"/>
    <mergeCell ref="E42:G42"/>
    <mergeCell ref="E44:G44"/>
    <mergeCell ref="E48:N48"/>
    <mergeCell ref="E47:N47"/>
    <mergeCell ref="C24:J24"/>
    <mergeCell ref="G29:K29"/>
    <mergeCell ref="E38:G38"/>
    <mergeCell ref="J67:L67"/>
    <mergeCell ref="J69:L69"/>
    <mergeCell ref="J71:L71"/>
    <mergeCell ref="J74:S74"/>
    <mergeCell ref="J75:S75"/>
    <mergeCell ref="O63:P63"/>
    <mergeCell ref="J65:L65"/>
    <mergeCell ref="L56:P56"/>
    <mergeCell ref="J63:L63"/>
    <mergeCell ref="B87:D87"/>
    <mergeCell ref="B89:D89"/>
    <mergeCell ref="B93:D93"/>
    <mergeCell ref="B95:D95"/>
    <mergeCell ref="B98:I98"/>
    <mergeCell ref="B83:I83"/>
    <mergeCell ref="B84:I84"/>
    <mergeCell ref="B85:C85"/>
    <mergeCell ref="G87:H87"/>
    <mergeCell ref="B91:D9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0"/>
  </cols>
  <sheetData>
    <row r="3" ht="20.25" customHeight="1">
      <c r="D3" s="59" t="s">
        <v>40</v>
      </c>
    </row>
    <row r="4" ht="15.75" customHeight="1">
      <c r="D4" s="60" t="s">
        <v>41</v>
      </c>
      <c r="E4" s="61" t="s">
        <v>42</v>
      </c>
      <c r="F4" s="62"/>
      <c r="G4" s="61" t="s">
        <v>43</v>
      </c>
      <c r="H4" s="62"/>
    </row>
    <row r="5">
      <c r="D5" s="63" t="s">
        <v>44</v>
      </c>
      <c r="E5" s="64">
        <v>45895.954</v>
      </c>
      <c r="F5" s="62"/>
      <c r="G5" s="64">
        <v>210949.513</v>
      </c>
      <c r="H5" s="62"/>
    </row>
    <row r="6">
      <c r="D6" s="63" t="s">
        <v>45</v>
      </c>
      <c r="E6" s="64">
        <v>45877.617999999995</v>
      </c>
      <c r="F6" s="62"/>
      <c r="G6" s="64">
        <v>210925.20500000002</v>
      </c>
      <c r="H6" s="62"/>
    </row>
    <row r="7">
      <c r="D7" s="63" t="s">
        <v>46</v>
      </c>
      <c r="E7" s="64">
        <v>45870.528999999995</v>
      </c>
      <c r="F7" s="62"/>
      <c r="G7" s="64">
        <v>210920.108</v>
      </c>
      <c r="H7" s="62"/>
    </row>
    <row r="8">
      <c r="D8" s="63" t="s">
        <v>47</v>
      </c>
      <c r="E8" s="64">
        <v>45832.708999999995</v>
      </c>
      <c r="F8" s="62"/>
      <c r="G8" s="64">
        <v>210947.25</v>
      </c>
      <c r="H8" s="62"/>
    </row>
    <row r="9">
      <c r="D9" s="63" t="s">
        <v>48</v>
      </c>
      <c r="E9" s="64">
        <v>45825.057</v>
      </c>
      <c r="F9" s="62"/>
      <c r="G9" s="64">
        <v>210953.831</v>
      </c>
      <c r="H9" s="62"/>
    </row>
    <row r="10">
      <c r="D10" s="63" t="s">
        <v>49</v>
      </c>
      <c r="E10" s="64">
        <v>45815.564</v>
      </c>
      <c r="F10" s="62"/>
      <c r="G10" s="64">
        <v>210942.528</v>
      </c>
      <c r="H10" s="62"/>
    </row>
    <row r="11">
      <c r="D11" s="63" t="s">
        <v>50</v>
      </c>
      <c r="E11" s="64">
        <v>45799.001</v>
      </c>
      <c r="F11" s="62"/>
      <c r="G11" s="64">
        <v>210933.987</v>
      </c>
      <c r="H11" s="62"/>
    </row>
    <row r="12">
      <c r="D12" s="63" t="s">
        <v>51</v>
      </c>
      <c r="E12" s="64">
        <v>45785.763</v>
      </c>
      <c r="F12" s="62"/>
      <c r="G12" s="64">
        <v>210921.616</v>
      </c>
      <c r="H12" s="62"/>
    </row>
    <row r="13">
      <c r="D13" s="63" t="s">
        <v>52</v>
      </c>
      <c r="E13" s="64">
        <v>45790.378</v>
      </c>
      <c r="F13" s="62"/>
      <c r="G13" s="64">
        <v>210928.682</v>
      </c>
      <c r="H13" s="62"/>
    </row>
    <row r="14">
      <c r="D14" s="63" t="s">
        <v>53</v>
      </c>
      <c r="E14" s="64">
        <v>45805.106999999996</v>
      </c>
      <c r="F14" s="62"/>
      <c r="G14" s="64">
        <v>210910.328</v>
      </c>
      <c r="H14" s="62"/>
    </row>
    <row r="15">
      <c r="D15" s="63" t="s">
        <v>54</v>
      </c>
      <c r="E15" s="64">
        <v>45794.092</v>
      </c>
      <c r="F15" s="62"/>
      <c r="G15" s="64">
        <v>210899.829</v>
      </c>
      <c r="H15" s="62"/>
    </row>
    <row r="16">
      <c r="D16" s="63" t="s">
        <v>55</v>
      </c>
      <c r="E16" s="64">
        <v>45788.358</v>
      </c>
      <c r="F16" s="62"/>
      <c r="G16" s="64">
        <v>210887.158</v>
      </c>
      <c r="H16" s="62"/>
    </row>
    <row r="17">
      <c r="D17" s="63" t="s">
        <v>56</v>
      </c>
      <c r="E17" s="64">
        <v>45774.261999999995</v>
      </c>
      <c r="F17" s="62"/>
      <c r="G17" s="64">
        <v>210852.583</v>
      </c>
      <c r="H17" s="62"/>
    </row>
    <row r="18">
      <c r="D18" s="63" t="s">
        <v>57</v>
      </c>
      <c r="E18" s="64">
        <v>45751.134</v>
      </c>
      <c r="F18" s="62"/>
      <c r="G18" s="64">
        <v>210806.435</v>
      </c>
      <c r="H18" s="62"/>
    </row>
    <row r="19">
      <c r="D19" s="63" t="s">
        <v>58</v>
      </c>
      <c r="E19" s="64">
        <v>45812.674</v>
      </c>
      <c r="F19" s="62"/>
      <c r="G19" s="64">
        <v>210783.798</v>
      </c>
      <c r="H19" s="62"/>
    </row>
    <row r="20">
      <c r="D20" s="63" t="s">
        <v>59</v>
      </c>
      <c r="E20" s="64">
        <v>45772.979</v>
      </c>
      <c r="F20" s="62"/>
      <c r="G20" s="64">
        <v>210561.217</v>
      </c>
      <c r="H20" s="62"/>
    </row>
    <row r="21" ht="15.75" customHeight="1">
      <c r="D21" s="63" t="s">
        <v>60</v>
      </c>
      <c r="E21" s="64">
        <v>45772.111</v>
      </c>
      <c r="F21" s="62"/>
      <c r="G21" s="64">
        <v>210536.342</v>
      </c>
      <c r="H21" s="62"/>
    </row>
    <row r="22" ht="15.75" customHeight="1">
      <c r="D22" s="63" t="s">
        <v>61</v>
      </c>
      <c r="E22" s="64">
        <v>45785.731999999996</v>
      </c>
      <c r="F22" s="62"/>
      <c r="G22" s="64">
        <v>210486.748</v>
      </c>
      <c r="H22" s="62"/>
    </row>
    <row r="23" ht="15.75" customHeight="1">
      <c r="D23" s="63" t="s">
        <v>62</v>
      </c>
      <c r="E23" s="64">
        <v>45756.138999999996</v>
      </c>
      <c r="F23" s="62"/>
      <c r="G23" s="64">
        <v>210473.939</v>
      </c>
      <c r="H23" s="62"/>
    </row>
    <row r="24" ht="15.75" customHeight="1">
      <c r="D24" s="63" t="s">
        <v>63</v>
      </c>
      <c r="E24" s="64">
        <v>45737.111</v>
      </c>
      <c r="F24" s="62"/>
      <c r="G24" s="64">
        <v>210465.733</v>
      </c>
      <c r="H24" s="62"/>
    </row>
    <row r="25" ht="15.75" customHeight="1">
      <c r="D25" s="63" t="s">
        <v>64</v>
      </c>
      <c r="E25" s="64">
        <v>45742.481999999996</v>
      </c>
      <c r="F25" s="62"/>
      <c r="G25" s="64">
        <v>210406.828</v>
      </c>
      <c r="H25" s="62"/>
    </row>
    <row r="26" ht="15.75" customHeight="1">
      <c r="D26" s="63" t="s">
        <v>65</v>
      </c>
      <c r="E26" s="64">
        <v>45781.176999999996</v>
      </c>
      <c r="F26" s="62"/>
      <c r="G26" s="64">
        <v>210412.141</v>
      </c>
      <c r="H26" s="62"/>
    </row>
    <row r="27" ht="15.75" customHeight="1">
      <c r="D27" s="63" t="s">
        <v>66</v>
      </c>
      <c r="E27" s="64">
        <v>45827.483</v>
      </c>
      <c r="F27" s="62"/>
      <c r="G27" s="64">
        <v>210420.06</v>
      </c>
      <c r="H27" s="62"/>
    </row>
    <row r="28" ht="15.75" customHeight="1">
      <c r="D28" s="63" t="s">
        <v>67</v>
      </c>
      <c r="E28" s="64">
        <v>45829.379</v>
      </c>
      <c r="F28" s="62"/>
      <c r="G28" s="64">
        <v>210426.103</v>
      </c>
      <c r="H28" s="62"/>
    </row>
    <row r="29" ht="15.75" customHeight="1">
      <c r="D29" s="63" t="s">
        <v>68</v>
      </c>
      <c r="E29" s="64">
        <v>45836.362</v>
      </c>
      <c r="F29" s="62"/>
      <c r="G29" s="64">
        <v>210438.057</v>
      </c>
      <c r="H29" s="62"/>
    </row>
    <row r="30" ht="15.75" customHeight="1">
      <c r="D30" s="63" t="s">
        <v>69</v>
      </c>
      <c r="E30" s="64">
        <v>45843.148</v>
      </c>
      <c r="F30" s="62"/>
      <c r="G30" s="64">
        <v>210449.653</v>
      </c>
      <c r="H30" s="62"/>
    </row>
    <row r="31" ht="15.75" customHeight="1">
      <c r="D31" s="63" t="s">
        <v>70</v>
      </c>
      <c r="E31" s="64">
        <v>45861.778</v>
      </c>
      <c r="F31" s="62"/>
      <c r="G31" s="64">
        <v>210474.71600000001</v>
      </c>
      <c r="H31" s="62"/>
    </row>
    <row r="32" ht="15.75" customHeight="1">
      <c r="D32" s="63" t="s">
        <v>71</v>
      </c>
      <c r="E32" s="64">
        <v>45861.784999999996</v>
      </c>
      <c r="F32" s="62"/>
      <c r="G32" s="64">
        <v>210474.719</v>
      </c>
      <c r="H32" s="62"/>
    </row>
    <row r="33" ht="15.75" customHeight="1">
      <c r="D33" s="63" t="s">
        <v>72</v>
      </c>
      <c r="E33" s="64">
        <v>45867.744</v>
      </c>
      <c r="F33" s="62"/>
      <c r="G33" s="64">
        <v>210481.604</v>
      </c>
      <c r="H33" s="62"/>
    </row>
    <row r="34" ht="15.75" customHeight="1">
      <c r="D34" s="63" t="s">
        <v>73</v>
      </c>
      <c r="E34" s="64">
        <v>45892.216</v>
      </c>
      <c r="F34" s="62"/>
      <c r="G34" s="64">
        <v>210512.366</v>
      </c>
      <c r="H34" s="62"/>
    </row>
    <row r="35" ht="15.75" customHeight="1">
      <c r="D35" s="63" t="s">
        <v>74</v>
      </c>
      <c r="E35" s="64">
        <v>45902.854999999996</v>
      </c>
      <c r="F35" s="62"/>
      <c r="G35" s="64">
        <v>210527.727</v>
      </c>
      <c r="H35" s="62"/>
    </row>
    <row r="36" ht="15.75" customHeight="1">
      <c r="D36" s="63" t="s">
        <v>75</v>
      </c>
      <c r="E36" s="64">
        <v>45930.133</v>
      </c>
      <c r="F36" s="62"/>
      <c r="G36" s="64">
        <v>210555.57200000001</v>
      </c>
      <c r="H36" s="62"/>
    </row>
    <row r="37" ht="15.75" customHeight="1">
      <c r="D37" s="63" t="s">
        <v>76</v>
      </c>
      <c r="E37" s="64">
        <v>45948.481999999996</v>
      </c>
      <c r="F37" s="62"/>
      <c r="G37" s="64">
        <v>210538.112</v>
      </c>
      <c r="H37" s="62"/>
    </row>
    <row r="38" ht="15.75" customHeight="1">
      <c r="D38" s="63" t="s">
        <v>77</v>
      </c>
      <c r="E38" s="64">
        <v>45963.792</v>
      </c>
      <c r="F38" s="62"/>
      <c r="G38" s="64">
        <v>210549.482</v>
      </c>
      <c r="H38" s="62"/>
    </row>
    <row r="39" ht="15.75" customHeight="1">
      <c r="D39" s="63" t="s">
        <v>78</v>
      </c>
      <c r="E39" s="64">
        <v>45995.842</v>
      </c>
      <c r="F39" s="62"/>
      <c r="G39" s="64">
        <v>210507.781</v>
      </c>
      <c r="H39" s="62"/>
    </row>
    <row r="40" ht="15.75" customHeight="1">
      <c r="D40" s="63" t="s">
        <v>79</v>
      </c>
      <c r="E40" s="64">
        <v>46000.032</v>
      </c>
      <c r="F40" s="62"/>
      <c r="G40" s="64">
        <v>210503.247</v>
      </c>
      <c r="H40" s="62"/>
    </row>
    <row r="41" ht="15.75" customHeight="1">
      <c r="D41" s="63" t="s">
        <v>80</v>
      </c>
      <c r="E41" s="64">
        <v>46016.530999999995</v>
      </c>
      <c r="F41" s="62"/>
      <c r="G41" s="64">
        <v>210493.509</v>
      </c>
      <c r="H41" s="62"/>
    </row>
    <row r="42" ht="15.75" customHeight="1">
      <c r="D42" s="63" t="s">
        <v>81</v>
      </c>
      <c r="E42" s="64">
        <v>46031.441</v>
      </c>
      <c r="F42" s="62"/>
      <c r="G42" s="64">
        <v>210473.877</v>
      </c>
      <c r="H42" s="62"/>
    </row>
    <row r="43" ht="15.75" customHeight="1">
      <c r="D43" s="63" t="s">
        <v>82</v>
      </c>
      <c r="E43" s="64">
        <v>46052.759</v>
      </c>
      <c r="F43" s="62"/>
      <c r="G43" s="64">
        <v>210490.987</v>
      </c>
      <c r="H43" s="62"/>
    </row>
    <row r="44" ht="15.75" customHeight="1">
      <c r="D44" s="63" t="s">
        <v>83</v>
      </c>
      <c r="E44" s="64">
        <v>46071.056</v>
      </c>
      <c r="F44" s="62"/>
      <c r="G44" s="64">
        <v>210505.385</v>
      </c>
      <c r="H44" s="62"/>
    </row>
    <row r="45" ht="15.75" customHeight="1">
      <c r="D45" s="63" t="s">
        <v>84</v>
      </c>
      <c r="E45" s="64">
        <v>46092.64</v>
      </c>
      <c r="F45" s="62"/>
      <c r="G45" s="64">
        <v>210520.3</v>
      </c>
      <c r="H45" s="62"/>
    </row>
    <row r="46" ht="15.75" customHeight="1">
      <c r="D46" s="63" t="s">
        <v>85</v>
      </c>
      <c r="E46" s="64">
        <v>46102.305</v>
      </c>
      <c r="F46" s="62"/>
      <c r="G46" s="64">
        <v>210512.741</v>
      </c>
      <c r="H46" s="62"/>
    </row>
    <row r="47" ht="15.75" customHeight="1">
      <c r="D47" s="63" t="s">
        <v>86</v>
      </c>
      <c r="E47" s="64">
        <v>46078.676</v>
      </c>
      <c r="F47" s="62"/>
      <c r="G47" s="64">
        <v>210495.055</v>
      </c>
      <c r="H47" s="62"/>
    </row>
    <row r="48" ht="15.75" customHeight="1">
      <c r="D48" s="63" t="s">
        <v>87</v>
      </c>
      <c r="E48" s="64">
        <v>46098.786</v>
      </c>
      <c r="F48" s="62"/>
      <c r="G48" s="64">
        <v>210473.31100000002</v>
      </c>
      <c r="H48" s="62"/>
    </row>
    <row r="49" ht="15.75" customHeight="1">
      <c r="D49" s="63" t="s">
        <v>88</v>
      </c>
      <c r="E49" s="64">
        <v>46099.693</v>
      </c>
      <c r="F49" s="62"/>
      <c r="G49" s="64">
        <v>210473.94</v>
      </c>
      <c r="H49" s="62"/>
    </row>
    <row r="50" ht="15.75" customHeight="1">
      <c r="D50" s="63" t="s">
        <v>89</v>
      </c>
      <c r="E50" s="64">
        <v>46109.742</v>
      </c>
      <c r="F50" s="62"/>
      <c r="G50" s="64">
        <v>210456.958</v>
      </c>
      <c r="H50" s="62"/>
    </row>
    <row r="51" ht="15.75" customHeight="1">
      <c r="D51" s="63" t="s">
        <v>90</v>
      </c>
      <c r="E51" s="64">
        <v>46117.554</v>
      </c>
      <c r="F51" s="62"/>
      <c r="G51" s="64">
        <v>210446.169</v>
      </c>
      <c r="H51" s="62"/>
    </row>
    <row r="52" ht="15.75" customHeight="1">
      <c r="D52" s="63" t="s">
        <v>91</v>
      </c>
      <c r="E52" s="64">
        <v>46125.323</v>
      </c>
      <c r="F52" s="62"/>
      <c r="G52" s="64">
        <v>210437.83000000002</v>
      </c>
      <c r="H52" s="62"/>
    </row>
    <row r="53" ht="15.75" customHeight="1">
      <c r="D53" s="63" t="s">
        <v>92</v>
      </c>
      <c r="E53" s="64">
        <v>46133.871</v>
      </c>
      <c r="F53" s="62"/>
      <c r="G53" s="64">
        <v>210445.914</v>
      </c>
      <c r="H53" s="62"/>
    </row>
    <row r="54" ht="15.75" customHeight="1">
      <c r="D54" s="63" t="s">
        <v>93</v>
      </c>
      <c r="E54" s="64">
        <v>46160.376</v>
      </c>
      <c r="F54" s="62"/>
      <c r="G54" s="64">
        <v>210476.087</v>
      </c>
      <c r="H54" s="62"/>
    </row>
    <row r="55" ht="15.75" customHeight="1">
      <c r="D55" s="63" t="s">
        <v>94</v>
      </c>
      <c r="E55" s="64">
        <v>46152.216</v>
      </c>
      <c r="F55" s="62"/>
      <c r="G55" s="64">
        <v>210479.744</v>
      </c>
      <c r="H55" s="62"/>
    </row>
    <row r="56" ht="15.75" customHeight="1">
      <c r="D56" s="63" t="s">
        <v>95</v>
      </c>
      <c r="E56" s="64">
        <v>46135.839</v>
      </c>
      <c r="F56" s="62"/>
      <c r="G56" s="64">
        <v>210492.333</v>
      </c>
      <c r="H56" s="62"/>
    </row>
    <row r="57" ht="15.75" customHeight="1">
      <c r="D57" s="63" t="s">
        <v>96</v>
      </c>
      <c r="E57" s="64">
        <v>46100.916</v>
      </c>
      <c r="F57" s="62"/>
      <c r="G57" s="64">
        <v>210519.376</v>
      </c>
      <c r="H57" s="62"/>
    </row>
    <row r="58" ht="15.75" customHeight="1">
      <c r="D58" s="63" t="s">
        <v>97</v>
      </c>
      <c r="E58" s="64">
        <v>46077.344</v>
      </c>
      <c r="F58" s="62"/>
      <c r="G58" s="64">
        <v>210537.256</v>
      </c>
      <c r="H58" s="62"/>
    </row>
    <row r="59" ht="15.75" customHeight="1">
      <c r="D59" s="63" t="s">
        <v>98</v>
      </c>
      <c r="E59" s="64">
        <v>46080.71</v>
      </c>
      <c r="F59" s="62"/>
      <c r="G59" s="64">
        <v>210541.656</v>
      </c>
      <c r="H59" s="62"/>
    </row>
    <row r="60" ht="15.75" customHeight="1">
      <c r="D60" s="63" t="s">
        <v>99</v>
      </c>
      <c r="E60" s="64">
        <v>46057.81</v>
      </c>
      <c r="F60" s="62"/>
      <c r="G60" s="64">
        <v>210565.32</v>
      </c>
      <c r="H60" s="62"/>
    </row>
    <row r="61" ht="15.75" customHeight="1">
      <c r="D61" s="63" t="s">
        <v>100</v>
      </c>
      <c r="E61" s="64">
        <v>46042.246999999996</v>
      </c>
      <c r="F61" s="62"/>
      <c r="G61" s="64">
        <v>210565.786</v>
      </c>
      <c r="H61" s="62"/>
    </row>
    <row r="62" ht="15.75" customHeight="1">
      <c r="D62" s="63" t="s">
        <v>101</v>
      </c>
      <c r="E62" s="64">
        <v>45986.987</v>
      </c>
      <c r="F62" s="62"/>
      <c r="G62" s="64">
        <v>210528.326</v>
      </c>
      <c r="H62" s="62"/>
    </row>
    <row r="63" ht="15.75" customHeight="1">
      <c r="D63" s="63" t="s">
        <v>102</v>
      </c>
      <c r="E63" s="64">
        <v>45966.17</v>
      </c>
      <c r="F63" s="62"/>
      <c r="G63" s="64">
        <v>210555.92</v>
      </c>
      <c r="H63" s="62"/>
    </row>
    <row r="64" ht="15.75" customHeight="1">
      <c r="D64" s="63" t="s">
        <v>103</v>
      </c>
      <c r="E64" s="64">
        <v>45953.320999999996</v>
      </c>
      <c r="F64" s="62"/>
      <c r="G64" s="64">
        <v>210580.352</v>
      </c>
      <c r="H64" s="62"/>
    </row>
    <row r="65" ht="15.75" customHeight="1">
      <c r="D65" s="63" t="s">
        <v>104</v>
      </c>
      <c r="E65" s="64">
        <v>46007.415</v>
      </c>
      <c r="F65" s="62"/>
      <c r="G65" s="64">
        <v>210639.457</v>
      </c>
      <c r="H65" s="62"/>
    </row>
    <row r="66" ht="15.75" customHeight="1">
      <c r="D66" s="63" t="s">
        <v>105</v>
      </c>
      <c r="E66" s="64">
        <v>46084.884</v>
      </c>
      <c r="F66" s="62"/>
      <c r="G66" s="64">
        <v>210729.415</v>
      </c>
      <c r="H66" s="62"/>
    </row>
    <row r="67" ht="15.75" customHeight="1">
      <c r="D67" s="63" t="s">
        <v>106</v>
      </c>
      <c r="E67" s="64">
        <v>46123.233</v>
      </c>
      <c r="F67" s="62"/>
      <c r="G67" s="64">
        <v>210778.556</v>
      </c>
      <c r="H67" s="62"/>
    </row>
    <row r="68" ht="15.75" customHeight="1">
      <c r="D68" s="63" t="s">
        <v>107</v>
      </c>
      <c r="E68" s="64">
        <v>46145.106999999996</v>
      </c>
      <c r="F68" s="62"/>
      <c r="G68" s="64">
        <v>210812.512</v>
      </c>
      <c r="H68" s="62"/>
    </row>
    <row r="69" ht="15.75" customHeight="1">
      <c r="D69" s="63" t="s">
        <v>108</v>
      </c>
      <c r="E69" s="64">
        <v>46044.746999999996</v>
      </c>
      <c r="F69" s="62"/>
      <c r="G69" s="64">
        <v>210864.961</v>
      </c>
      <c r="H69" s="62"/>
    </row>
    <row r="70" ht="15.75" customHeight="1">
      <c r="D70" s="63" t="s">
        <v>109</v>
      </c>
      <c r="E70" s="64">
        <v>45995.864</v>
      </c>
      <c r="F70" s="62"/>
      <c r="G70" s="64">
        <v>210891.445</v>
      </c>
      <c r="H70" s="62"/>
    </row>
    <row r="71" ht="15.75" customHeight="1">
      <c r="D71" s="63" t="s">
        <v>110</v>
      </c>
      <c r="E71" s="64">
        <v>45946.528</v>
      </c>
      <c r="F71" s="62"/>
      <c r="G71" s="64">
        <v>210919.641</v>
      </c>
      <c r="H71" s="6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7">
    <mergeCell ref="E11:F11"/>
    <mergeCell ref="E8:F8"/>
    <mergeCell ref="E9:F9"/>
    <mergeCell ref="E10:F10"/>
    <mergeCell ref="E18:F18"/>
    <mergeCell ref="E5:F5"/>
    <mergeCell ref="E12:F12"/>
    <mergeCell ref="E13:F13"/>
    <mergeCell ref="E14:F14"/>
    <mergeCell ref="E15:F15"/>
    <mergeCell ref="E4:F4"/>
    <mergeCell ref="E16:F16"/>
    <mergeCell ref="E17:F17"/>
    <mergeCell ref="G19:H19"/>
    <mergeCell ref="G18:H18"/>
    <mergeCell ref="E23:F23"/>
    <mergeCell ref="E24:F24"/>
    <mergeCell ref="E25:F25"/>
    <mergeCell ref="E26:F26"/>
    <mergeCell ref="G26:H26"/>
    <mergeCell ref="G25:H25"/>
    <mergeCell ref="G24:H24"/>
    <mergeCell ref="G23:H23"/>
    <mergeCell ref="G15:H15"/>
    <mergeCell ref="G14:H14"/>
    <mergeCell ref="G13:H13"/>
    <mergeCell ref="G12:H12"/>
    <mergeCell ref="G11:H11"/>
    <mergeCell ref="E6:F6"/>
    <mergeCell ref="E7:F7"/>
    <mergeCell ref="G10:H10"/>
    <mergeCell ref="G9:H9"/>
    <mergeCell ref="G8:H8"/>
    <mergeCell ref="G7:H7"/>
    <mergeCell ref="G6:H6"/>
    <mergeCell ref="G4:H4"/>
    <mergeCell ref="D3:H3"/>
    <mergeCell ref="G5:H5"/>
    <mergeCell ref="E22:F22"/>
    <mergeCell ref="G22:H22"/>
    <mergeCell ref="G21:H21"/>
    <mergeCell ref="G20:H20"/>
    <mergeCell ref="G17:H17"/>
    <mergeCell ref="G16:H16"/>
    <mergeCell ref="E19:F19"/>
    <mergeCell ref="E20:F20"/>
    <mergeCell ref="E21:F21"/>
    <mergeCell ref="E66:F66"/>
    <mergeCell ref="E65:F65"/>
    <mergeCell ref="E63:F63"/>
    <mergeCell ref="E64:F64"/>
    <mergeCell ref="E67:F67"/>
    <mergeCell ref="E68:F68"/>
    <mergeCell ref="E69:F69"/>
    <mergeCell ref="E70:F70"/>
    <mergeCell ref="E71:F71"/>
    <mergeCell ref="E57:F57"/>
    <mergeCell ref="E58:F58"/>
    <mergeCell ref="E59:F59"/>
    <mergeCell ref="E60:F60"/>
    <mergeCell ref="E61:F61"/>
    <mergeCell ref="E62:F62"/>
    <mergeCell ref="E50:F50"/>
    <mergeCell ref="E51:F51"/>
    <mergeCell ref="E52:F52"/>
    <mergeCell ref="E53:F53"/>
    <mergeCell ref="E54:F54"/>
    <mergeCell ref="E55:F55"/>
    <mergeCell ref="E56:F5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G36:H36"/>
    <mergeCell ref="G35:H35"/>
    <mergeCell ref="G29:H29"/>
    <mergeCell ref="G28:H28"/>
    <mergeCell ref="G27:H27"/>
    <mergeCell ref="G33:H33"/>
    <mergeCell ref="G32:H32"/>
    <mergeCell ref="G31:H31"/>
    <mergeCell ref="G30:H30"/>
    <mergeCell ref="G40:H40"/>
    <mergeCell ref="G39:H39"/>
    <mergeCell ref="G34:H34"/>
    <mergeCell ref="E37:F37"/>
    <mergeCell ref="E36:F36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G68:H68"/>
    <mergeCell ref="G69:H69"/>
    <mergeCell ref="G62:H62"/>
    <mergeCell ref="G61:H61"/>
    <mergeCell ref="G60:H60"/>
    <mergeCell ref="G59:H59"/>
    <mergeCell ref="G58:H58"/>
    <mergeCell ref="G57:H57"/>
    <mergeCell ref="G56:H56"/>
    <mergeCell ref="G71:H71"/>
    <mergeCell ref="G70:H70"/>
    <mergeCell ref="G67:H67"/>
    <mergeCell ref="G66:H66"/>
    <mergeCell ref="G65:H65"/>
    <mergeCell ref="G64:H64"/>
    <mergeCell ref="G63:H63"/>
    <mergeCell ref="G38:H38"/>
    <mergeCell ref="G37:H37"/>
    <mergeCell ref="G48:H48"/>
    <mergeCell ref="G47:H47"/>
    <mergeCell ref="G46:H46"/>
    <mergeCell ref="G45:H45"/>
    <mergeCell ref="G44:H44"/>
    <mergeCell ref="G43:H43"/>
    <mergeCell ref="G42:H42"/>
    <mergeCell ref="G41:H41"/>
    <mergeCell ref="G55:H55"/>
    <mergeCell ref="G54:H54"/>
    <mergeCell ref="G53:H53"/>
    <mergeCell ref="G52:H52"/>
    <mergeCell ref="G51:H51"/>
    <mergeCell ref="G50:H50"/>
    <mergeCell ref="G49:H4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11.71"/>
    <col customWidth="1" min="4" max="4" width="9.57"/>
    <col customWidth="1" min="5" max="5" width="9.29"/>
    <col customWidth="1" hidden="1" min="6" max="7" width="9.14"/>
    <col customWidth="1" min="8" max="10" width="4.86"/>
    <col customWidth="1" min="11" max="11" width="9.43"/>
    <col customWidth="1" min="12" max="12" width="10.43"/>
    <col customWidth="1" min="13" max="14" width="11.71"/>
    <col customWidth="1" min="15" max="15" width="10.43"/>
    <col customWidth="1" min="16" max="17" width="11.71"/>
    <col customWidth="1" min="18" max="19" width="9.14"/>
    <col customWidth="1" min="20" max="20" width="10.43"/>
    <col customWidth="1" min="21" max="24" width="11.29"/>
  </cols>
  <sheetData>
    <row r="1" ht="14.25" customHeight="1">
      <c r="A1" s="65" t="s">
        <v>111</v>
      </c>
      <c r="W1" s="65"/>
      <c r="X1" s="65"/>
    </row>
    <row r="2" ht="14.25" customHeight="1">
      <c r="A2" s="65" t="s">
        <v>41</v>
      </c>
      <c r="B2" s="66" t="s">
        <v>42</v>
      </c>
      <c r="C2" s="66" t="s">
        <v>43</v>
      </c>
      <c r="D2" s="65"/>
      <c r="E2" s="65"/>
      <c r="F2" s="65"/>
      <c r="G2" s="65"/>
      <c r="H2" s="65"/>
      <c r="I2" s="65"/>
      <c r="J2" s="65"/>
      <c r="K2" s="66"/>
      <c r="W2" s="65"/>
      <c r="X2" s="65"/>
    </row>
    <row r="3" ht="14.25" customHeight="1">
      <c r="A3" s="65"/>
      <c r="B3" s="66"/>
      <c r="C3" s="66"/>
      <c r="D3" s="65"/>
      <c r="E3" s="65"/>
      <c r="F3" s="65"/>
      <c r="G3" s="65"/>
      <c r="H3" s="65"/>
      <c r="I3" s="65"/>
      <c r="J3" s="65"/>
      <c r="K3" s="66"/>
      <c r="W3" s="65"/>
      <c r="X3" s="65"/>
    </row>
    <row r="4" ht="14.25" customHeight="1">
      <c r="A4" s="67" t="s">
        <v>112</v>
      </c>
      <c r="B4" s="68">
        <v>46203.9</v>
      </c>
      <c r="C4" s="68">
        <v>210775.64</v>
      </c>
      <c r="D4" s="69" t="s">
        <v>113</v>
      </c>
      <c r="E4" s="62"/>
      <c r="F4" s="65"/>
      <c r="G4" s="65"/>
      <c r="H4" s="65"/>
      <c r="I4" s="65"/>
      <c r="J4" s="65"/>
      <c r="K4" s="66"/>
      <c r="W4" s="65"/>
      <c r="X4" s="65"/>
    </row>
    <row r="5" ht="14.25" customHeight="1">
      <c r="A5" s="67" t="s">
        <v>114</v>
      </c>
      <c r="B5" s="68">
        <v>46145.06</v>
      </c>
      <c r="C5" s="68">
        <v>210808.14</v>
      </c>
      <c r="D5" s="69" t="s">
        <v>113</v>
      </c>
      <c r="E5" s="62"/>
      <c r="F5" s="65"/>
      <c r="G5" s="65"/>
      <c r="H5" s="65"/>
      <c r="I5" s="65"/>
      <c r="J5" s="65"/>
      <c r="K5" s="66"/>
      <c r="W5" s="65"/>
      <c r="X5" s="65"/>
    </row>
    <row r="6" ht="14.25" customHeight="1">
      <c r="A6" s="67" t="s">
        <v>115</v>
      </c>
      <c r="B6" s="68">
        <v>46098.37</v>
      </c>
      <c r="C6" s="68">
        <v>210744.47</v>
      </c>
      <c r="D6" s="69" t="s">
        <v>113</v>
      </c>
      <c r="E6" s="62"/>
      <c r="F6" s="65"/>
      <c r="G6" s="65"/>
      <c r="H6" s="65"/>
      <c r="I6" s="65"/>
      <c r="J6" s="65"/>
      <c r="K6" s="66"/>
      <c r="W6" s="65"/>
      <c r="X6" s="65"/>
    </row>
    <row r="7" ht="14.25" customHeight="1">
      <c r="A7" s="67" t="s">
        <v>116</v>
      </c>
      <c r="B7" s="68">
        <v>46162.99</v>
      </c>
      <c r="C7" s="68">
        <v>210703.93</v>
      </c>
      <c r="D7" s="69" t="s">
        <v>113</v>
      </c>
      <c r="E7" s="62"/>
      <c r="F7" s="65"/>
      <c r="G7" s="65"/>
      <c r="H7" s="65"/>
      <c r="I7" s="65"/>
      <c r="J7" s="65"/>
      <c r="K7" s="66"/>
      <c r="W7" s="65"/>
      <c r="X7" s="65"/>
    </row>
    <row r="8" ht="14.25" customHeight="1">
      <c r="A8" s="67" t="s">
        <v>114</v>
      </c>
      <c r="B8" s="68">
        <v>46145.06</v>
      </c>
      <c r="C8" s="68">
        <v>210808.14</v>
      </c>
      <c r="D8" s="69" t="s">
        <v>113</v>
      </c>
      <c r="E8" s="62"/>
      <c r="F8" s="65"/>
      <c r="G8" s="65"/>
      <c r="H8" s="65"/>
      <c r="I8" s="65"/>
      <c r="J8" s="65"/>
      <c r="K8" s="66"/>
      <c r="W8" s="65"/>
      <c r="X8" s="65"/>
    </row>
    <row r="9" ht="14.25" customHeight="1">
      <c r="A9" s="67" t="s">
        <v>112</v>
      </c>
      <c r="B9" s="68">
        <v>46203.9</v>
      </c>
      <c r="C9" s="68">
        <v>210775.64</v>
      </c>
      <c r="D9" s="69" t="s">
        <v>113</v>
      </c>
      <c r="E9" s="62"/>
      <c r="F9" s="65"/>
      <c r="G9" s="65"/>
      <c r="H9" s="65"/>
      <c r="I9" s="65"/>
      <c r="J9" s="65"/>
      <c r="K9" s="66"/>
      <c r="W9" s="65"/>
      <c r="X9" s="65"/>
    </row>
    <row r="10" ht="14.25" customHeight="1">
      <c r="A10" s="65"/>
      <c r="B10" s="66"/>
      <c r="C10" s="66"/>
      <c r="D10" s="65"/>
      <c r="E10" s="65"/>
      <c r="F10" s="65"/>
      <c r="G10" s="65"/>
      <c r="H10" s="65"/>
      <c r="I10" s="65"/>
      <c r="J10" s="65"/>
      <c r="K10" s="66"/>
      <c r="W10" s="65"/>
      <c r="X10" s="65"/>
    </row>
    <row r="11" ht="14.25" customHeight="1">
      <c r="A11" s="65"/>
      <c r="B11" s="66" t="s">
        <v>117</v>
      </c>
      <c r="C11" s="66"/>
      <c r="D11" s="65"/>
      <c r="E11" s="65"/>
      <c r="F11" s="65"/>
      <c r="G11" s="65"/>
      <c r="H11" s="65"/>
      <c r="I11" s="65"/>
      <c r="J11" s="65"/>
      <c r="K11" s="66"/>
      <c r="W11" s="65"/>
      <c r="X11" s="65"/>
    </row>
    <row r="12" ht="14.25" customHeight="1">
      <c r="A12" s="67" t="str">
        <f t="shared" ref="A12:C12" si="1">A4</f>
        <v>cm1</v>
      </c>
      <c r="B12" s="68" t="str">
        <f t="shared" si="1"/>
        <v>46203.900</v>
      </c>
      <c r="C12" s="68" t="str">
        <f t="shared" si="1"/>
        <v>210775.640</v>
      </c>
      <c r="D12" s="67" t="s">
        <v>118</v>
      </c>
      <c r="E12" s="67" t="s">
        <v>119</v>
      </c>
      <c r="F12" s="67"/>
      <c r="G12" s="67"/>
      <c r="H12" s="70" t="s">
        <v>120</v>
      </c>
      <c r="I12" s="20"/>
      <c r="J12" s="62"/>
      <c r="K12" s="71" t="s">
        <v>121</v>
      </c>
      <c r="W12" s="65"/>
      <c r="X12" s="65"/>
    </row>
    <row r="13" ht="14.25" customHeight="1">
      <c r="A13" s="67" t="str">
        <f t="shared" ref="A13:C13" si="2">A6</f>
        <v>DD/6124</v>
      </c>
      <c r="B13" s="68" t="str">
        <f t="shared" si="2"/>
        <v>46098.370</v>
      </c>
      <c r="C13" s="68" t="str">
        <f t="shared" si="2"/>
        <v>210744.470</v>
      </c>
      <c r="D13" s="68" t="str">
        <f t="shared" ref="D13:E13" si="3">B12-B13</f>
        <v>105.530</v>
      </c>
      <c r="E13" s="68" t="str">
        <f t="shared" si="3"/>
        <v>31.170</v>
      </c>
      <c r="F13" s="67" t="str">
        <f>ATAN2(D13,E13)*180/PI()</f>
        <v>16.45536172</v>
      </c>
      <c r="G13" s="67" t="str">
        <f>IF(F13&lt;0,F13+360,F13)</f>
        <v>16.45536172</v>
      </c>
      <c r="H13" s="72" t="str">
        <f>TRUNC(G13,0)</f>
        <v>16</v>
      </c>
      <c r="I13" s="72" t="str">
        <f>TRUNC((G13-H13)*60,0)</f>
        <v>27</v>
      </c>
      <c r="J13" s="72" t="str">
        <f>ROUND((G13-H13-I13/60)*3600,0)</f>
        <v>19</v>
      </c>
      <c r="K13" s="73" t="str">
        <f>SQRT(D13^2+E13^2)</f>
        <v>110.037</v>
      </c>
      <c r="W13" s="65"/>
      <c r="X13" s="65"/>
    </row>
    <row r="14" ht="14.25" customHeight="1">
      <c r="A14" s="67"/>
      <c r="B14" s="71"/>
      <c r="C14" s="71"/>
      <c r="D14" s="67"/>
      <c r="E14" s="67"/>
      <c r="F14" s="67"/>
      <c r="G14" s="67"/>
      <c r="H14" s="72"/>
      <c r="I14" s="72"/>
      <c r="J14" s="72"/>
      <c r="K14" s="73"/>
      <c r="W14" s="65"/>
      <c r="X14" s="65"/>
    </row>
    <row r="15" ht="14.25" customHeight="1">
      <c r="A15" s="67" t="str">
        <f t="shared" ref="A15:C15" si="4">A5</f>
        <v>DD/6126</v>
      </c>
      <c r="B15" s="68" t="str">
        <f t="shared" si="4"/>
        <v>46145.060</v>
      </c>
      <c r="C15" s="68" t="str">
        <f t="shared" si="4"/>
        <v>210808.140</v>
      </c>
      <c r="D15" s="67"/>
      <c r="E15" s="67"/>
      <c r="F15" s="67"/>
      <c r="G15" s="67"/>
      <c r="H15" s="72"/>
      <c r="I15" s="72"/>
      <c r="J15" s="72"/>
      <c r="K15" s="73"/>
      <c r="W15" s="65"/>
      <c r="X15" s="65"/>
    </row>
    <row r="16" ht="14.25" customHeight="1">
      <c r="A16" s="67" t="str">
        <f t="shared" ref="A16:C16" si="5">A13</f>
        <v>DD/6124</v>
      </c>
      <c r="B16" s="68" t="str">
        <f t="shared" si="5"/>
        <v>46098.370</v>
      </c>
      <c r="C16" s="68" t="str">
        <f t="shared" si="5"/>
        <v>210744.470</v>
      </c>
      <c r="D16" s="68" t="str">
        <f t="shared" ref="D16:E16" si="6">B15-B16</f>
        <v>46.690</v>
      </c>
      <c r="E16" s="68" t="str">
        <f t="shared" si="6"/>
        <v>63.670</v>
      </c>
      <c r="F16" s="67" t="str">
        <f>ATAN2(D16,E16)*180/PI()</f>
        <v>53.74694252</v>
      </c>
      <c r="G16" s="67" t="str">
        <f>IF(F16&lt;0,F16+360,F16)</f>
        <v>53.74694252</v>
      </c>
      <c r="H16" s="72" t="str">
        <f>TRUNC(G16,0)</f>
        <v>53</v>
      </c>
      <c r="I16" s="72" t="str">
        <f>TRUNC((G16-H16)*60,0)</f>
        <v>44</v>
      </c>
      <c r="J16" s="72" t="str">
        <f>ROUND((G16-H16-I16/60)*3600,0)</f>
        <v>49</v>
      </c>
      <c r="K16" s="73" t="str">
        <f>SQRT(D16^2+E16^2)</f>
        <v>78.955</v>
      </c>
      <c r="W16" s="65"/>
      <c r="X16" s="65"/>
    </row>
    <row r="17" ht="14.25" customHeight="1">
      <c r="A17" s="65"/>
      <c r="B17" s="66"/>
      <c r="C17" s="66"/>
      <c r="D17" s="65"/>
      <c r="E17" s="65"/>
      <c r="F17" s="65"/>
      <c r="G17" s="65"/>
      <c r="H17" s="65"/>
      <c r="I17" s="65"/>
      <c r="J17" s="65"/>
      <c r="K17" s="66"/>
      <c r="W17" s="65"/>
      <c r="X17" s="65"/>
    </row>
    <row r="18" ht="14.25" customHeight="1">
      <c r="A18" s="65"/>
      <c r="B18" s="66"/>
      <c r="C18" s="66"/>
      <c r="D18" s="65"/>
      <c r="E18" s="65"/>
      <c r="F18" s="65"/>
      <c r="G18" s="65"/>
      <c r="H18" s="65"/>
      <c r="I18" s="65"/>
      <c r="J18" s="65"/>
      <c r="K18" s="66"/>
      <c r="W18" s="65"/>
      <c r="X18" s="65"/>
    </row>
    <row r="19" ht="14.25" customHeight="1">
      <c r="A19" s="65"/>
      <c r="B19" s="66" t="s">
        <v>122</v>
      </c>
      <c r="C19" s="66"/>
      <c r="D19" s="65"/>
      <c r="E19" s="65"/>
      <c r="F19" s="65"/>
      <c r="G19" s="65"/>
      <c r="H19" s="65"/>
      <c r="I19" s="65"/>
      <c r="J19" s="65"/>
      <c r="K19" s="66"/>
      <c r="W19" s="65"/>
      <c r="X19" s="65"/>
    </row>
    <row r="20" ht="14.25" customHeight="1">
      <c r="A20" s="67" t="str">
        <f t="shared" ref="A20:C20" si="7">A8</f>
        <v>DD/6126</v>
      </c>
      <c r="B20" s="68" t="str">
        <f t="shared" si="7"/>
        <v>46145.060</v>
      </c>
      <c r="C20" s="68" t="str">
        <f t="shared" si="7"/>
        <v>210808.140</v>
      </c>
      <c r="D20" s="67" t="str">
        <f t="shared" ref="D20:E20" si="8">D12</f>
        <v>±ΔN</v>
      </c>
      <c r="E20" s="67" t="str">
        <f t="shared" si="8"/>
        <v>±ΔE</v>
      </c>
      <c r="F20" s="67"/>
      <c r="G20" s="67"/>
      <c r="H20" s="70" t="s">
        <v>120</v>
      </c>
      <c r="I20" s="20"/>
      <c r="J20" s="62"/>
      <c r="K20" s="71"/>
      <c r="W20" s="65"/>
      <c r="X20" s="65"/>
    </row>
    <row r="21" ht="14.25" customHeight="1">
      <c r="A21" s="67" t="str">
        <f t="shared" ref="A21:C21" si="9">A7</f>
        <v>cm2</v>
      </c>
      <c r="B21" s="68" t="str">
        <f t="shared" si="9"/>
        <v>46162.990</v>
      </c>
      <c r="C21" s="68" t="str">
        <f t="shared" si="9"/>
        <v>210703.930</v>
      </c>
      <c r="D21" s="68" t="str">
        <f t="shared" ref="D21:E21" si="10">B20-B21</f>
        <v>-17.930</v>
      </c>
      <c r="E21" s="68" t="str">
        <f t="shared" si="10"/>
        <v>104.210</v>
      </c>
      <c r="F21" s="67" t="str">
        <f>ATAN2(D21,E21)*180/PI()</f>
        <v>99.76252123</v>
      </c>
      <c r="G21" s="67" t="str">
        <f>IF(F21&lt;0,F21+360,F21)</f>
        <v>99.76252123</v>
      </c>
      <c r="H21" s="72" t="str">
        <f>TRUNC(G21,0)</f>
        <v>99</v>
      </c>
      <c r="I21" s="72" t="str">
        <f>TRUNC((G21-H21)*60,0)</f>
        <v>45</v>
      </c>
      <c r="J21" s="72" t="str">
        <f>ROUND((G21-H21-I21/60)*3600,0)</f>
        <v>45</v>
      </c>
      <c r="K21" s="73" t="str">
        <f>SQRT(D21^2+E21^2)</f>
        <v>105.741</v>
      </c>
      <c r="W21" s="65"/>
      <c r="X21" s="65"/>
    </row>
    <row r="22" ht="14.25" customHeight="1">
      <c r="A22" s="67"/>
      <c r="B22" s="71"/>
      <c r="C22" s="71"/>
      <c r="D22" s="68"/>
      <c r="E22" s="68"/>
      <c r="F22" s="67"/>
      <c r="G22" s="67"/>
      <c r="H22" s="72"/>
      <c r="I22" s="72"/>
      <c r="J22" s="72"/>
      <c r="K22" s="73"/>
      <c r="W22" s="65"/>
      <c r="X22" s="65"/>
    </row>
    <row r="23" ht="14.25" customHeight="1">
      <c r="A23" s="67" t="str">
        <f t="shared" ref="A23:C23" si="11">A9</f>
        <v>cm1</v>
      </c>
      <c r="B23" s="68" t="str">
        <f t="shared" si="11"/>
        <v>46203.900</v>
      </c>
      <c r="C23" s="68" t="str">
        <f t="shared" si="11"/>
        <v>210775.640</v>
      </c>
      <c r="D23" s="68"/>
      <c r="E23" s="68"/>
      <c r="F23" s="67"/>
      <c r="G23" s="67"/>
      <c r="H23" s="72"/>
      <c r="I23" s="72"/>
      <c r="J23" s="72"/>
      <c r="K23" s="73"/>
      <c r="W23" s="65"/>
      <c r="X23" s="65"/>
    </row>
    <row r="24" ht="14.25" customHeight="1">
      <c r="A24" s="67" t="str">
        <f t="shared" ref="A24:C24" si="12">A21</f>
        <v>cm2</v>
      </c>
      <c r="B24" s="68" t="str">
        <f t="shared" si="12"/>
        <v>46162.990</v>
      </c>
      <c r="C24" s="68" t="str">
        <f t="shared" si="12"/>
        <v>210703.930</v>
      </c>
      <c r="D24" s="68" t="str">
        <f t="shared" ref="D24:E24" si="13">B23-B24</f>
        <v>40.910</v>
      </c>
      <c r="E24" s="68" t="str">
        <f t="shared" si="13"/>
        <v>71.710</v>
      </c>
      <c r="F24" s="67" t="str">
        <f>ATAN2(D24,E24)*180/PI()</f>
        <v>60.29557635</v>
      </c>
      <c r="G24" s="67" t="str">
        <f>IF(F24&lt;0,F24+360,F24)</f>
        <v>60.29557635</v>
      </c>
      <c r="H24" s="72" t="str">
        <f>TRUNC(G24,0)</f>
        <v>60</v>
      </c>
      <c r="I24" s="72" t="str">
        <f>TRUNC((G24-H24)*60,0)</f>
        <v>17</v>
      </c>
      <c r="J24" s="72" t="str">
        <f>ROUND((G24-H24-I24/60)*3600,0)</f>
        <v>44</v>
      </c>
      <c r="K24" s="73" t="str">
        <f>SQRT(D24^2+E24^2)</f>
        <v>82.559</v>
      </c>
      <c r="W24" s="65"/>
      <c r="X24" s="65"/>
    </row>
    <row r="25" ht="14.25" customHeight="1">
      <c r="A25" s="65"/>
      <c r="B25" s="66"/>
      <c r="C25" s="66"/>
      <c r="D25" s="65"/>
      <c r="E25" s="65"/>
      <c r="F25" s="65"/>
      <c r="G25" s="65"/>
      <c r="H25" s="65"/>
      <c r="I25" s="65"/>
      <c r="J25" s="65"/>
      <c r="K25" s="66"/>
      <c r="W25" s="65"/>
      <c r="X25" s="65"/>
    </row>
    <row r="26" ht="14.25" customHeight="1">
      <c r="A26" s="65"/>
      <c r="B26" s="66"/>
      <c r="C26" s="66"/>
      <c r="D26" s="65"/>
      <c r="E26" s="65"/>
      <c r="F26" s="65"/>
      <c r="G26" s="65"/>
      <c r="H26" s="65"/>
      <c r="I26" s="65"/>
      <c r="J26" s="65"/>
      <c r="K26" s="66"/>
      <c r="W26" s="65"/>
      <c r="X26" s="65"/>
    </row>
    <row r="27" ht="14.25" customHeight="1">
      <c r="A27" s="65"/>
      <c r="B27" s="66"/>
      <c r="C27" s="66"/>
      <c r="D27" s="65"/>
      <c r="E27" s="65"/>
      <c r="F27" s="65"/>
      <c r="G27" s="65"/>
      <c r="H27" s="65"/>
      <c r="I27" s="65"/>
      <c r="J27" s="65"/>
      <c r="K27" s="66"/>
      <c r="W27" s="65"/>
      <c r="X27" s="65"/>
    </row>
    <row r="28" ht="14.25" customHeight="1">
      <c r="A28" s="65"/>
      <c r="B28" s="66"/>
      <c r="C28" s="66"/>
      <c r="D28" s="65"/>
      <c r="E28" s="65"/>
      <c r="F28" s="65"/>
      <c r="G28" s="65"/>
      <c r="H28" s="65"/>
      <c r="I28" s="65"/>
      <c r="J28" s="65"/>
      <c r="K28" s="66"/>
      <c r="W28" s="65"/>
      <c r="X28" s="65"/>
    </row>
    <row r="29" ht="14.25" customHeight="1">
      <c r="A29" s="65"/>
      <c r="B29" s="66"/>
      <c r="C29" s="66"/>
      <c r="D29" s="65"/>
      <c r="E29" s="65"/>
      <c r="F29" s="65"/>
      <c r="G29" s="65"/>
      <c r="H29" s="65"/>
      <c r="I29" s="65"/>
      <c r="J29" s="65"/>
      <c r="K29" s="66"/>
      <c r="W29" s="65"/>
      <c r="X29" s="65"/>
    </row>
    <row r="30" ht="14.25" customHeight="1">
      <c r="A30" s="65"/>
      <c r="B30" s="66"/>
      <c r="C30" s="66"/>
      <c r="D30" s="65"/>
      <c r="E30" s="65"/>
      <c r="F30" s="65"/>
      <c r="G30" s="65"/>
      <c r="H30" s="65"/>
      <c r="I30" s="65"/>
      <c r="J30" s="65"/>
      <c r="K30" s="66"/>
      <c r="W30" s="65"/>
      <c r="X30" s="65"/>
    </row>
    <row r="31" ht="14.25" customHeight="1">
      <c r="A31" s="65"/>
      <c r="B31" s="66"/>
      <c r="C31" s="66"/>
      <c r="D31" s="65"/>
      <c r="E31" s="65"/>
      <c r="F31" s="65"/>
      <c r="G31" s="65"/>
      <c r="H31" s="65"/>
      <c r="I31" s="65"/>
      <c r="J31" s="65"/>
      <c r="K31" s="66"/>
      <c r="W31" s="65"/>
      <c r="X31" s="65"/>
    </row>
    <row r="32" ht="14.25" customHeight="1">
      <c r="A32" s="65"/>
      <c r="B32" s="66"/>
      <c r="C32" s="66"/>
      <c r="D32" s="65"/>
      <c r="E32" s="65"/>
      <c r="F32" s="65"/>
      <c r="G32" s="65"/>
      <c r="H32" s="65"/>
      <c r="I32" s="65"/>
      <c r="J32" s="65"/>
      <c r="K32" s="66"/>
      <c r="W32" s="65"/>
      <c r="X32" s="65"/>
    </row>
    <row r="33" ht="14.25" customHeight="1">
      <c r="A33" s="65"/>
      <c r="B33" s="66"/>
      <c r="C33" s="66"/>
      <c r="D33" s="65"/>
      <c r="E33" s="65"/>
      <c r="F33" s="65"/>
      <c r="G33" s="65"/>
      <c r="H33" s="65"/>
      <c r="I33" s="65"/>
      <c r="J33" s="65"/>
      <c r="K33" s="66"/>
      <c r="W33" s="65"/>
      <c r="X33" s="65"/>
    </row>
    <row r="34" ht="14.25" customHeight="1">
      <c r="A34" s="65"/>
      <c r="B34" s="66"/>
      <c r="C34" s="66"/>
      <c r="D34" s="65"/>
      <c r="E34" s="65"/>
      <c r="F34" s="65"/>
      <c r="G34" s="65"/>
      <c r="H34" s="65"/>
      <c r="I34" s="65"/>
      <c r="J34" s="65"/>
      <c r="K34" s="66"/>
      <c r="W34" s="65"/>
      <c r="X34" s="65"/>
    </row>
    <row r="35" ht="14.25" customHeight="1">
      <c r="A35" s="65"/>
      <c r="B35" s="66"/>
      <c r="C35" s="66"/>
      <c r="D35" s="65"/>
      <c r="E35" s="65"/>
      <c r="F35" s="65"/>
      <c r="G35" s="65"/>
      <c r="H35" s="65"/>
      <c r="I35" s="65"/>
      <c r="J35" s="65"/>
      <c r="K35" s="66"/>
      <c r="W35" s="65"/>
      <c r="X35" s="65"/>
    </row>
    <row r="36" ht="14.25" customHeight="1">
      <c r="A36" s="65"/>
      <c r="B36" s="66"/>
      <c r="C36" s="66"/>
      <c r="D36" s="65"/>
      <c r="E36" s="65"/>
      <c r="F36" s="65"/>
      <c r="G36" s="65"/>
      <c r="H36" s="65"/>
      <c r="I36" s="65"/>
      <c r="J36" s="65"/>
      <c r="K36" s="66"/>
      <c r="W36" s="65"/>
      <c r="X36" s="65"/>
    </row>
    <row r="37" ht="14.25" customHeight="1">
      <c r="A37" s="65"/>
      <c r="B37" s="66"/>
      <c r="C37" s="66"/>
      <c r="D37" s="65"/>
      <c r="E37" s="65"/>
      <c r="F37" s="65"/>
      <c r="G37" s="65"/>
      <c r="H37" s="65"/>
      <c r="I37" s="65"/>
      <c r="J37" s="65"/>
      <c r="K37" s="66"/>
      <c r="W37" s="65"/>
      <c r="X37" s="65"/>
    </row>
    <row r="38" ht="14.25" customHeight="1">
      <c r="A38" s="65"/>
      <c r="B38" s="66"/>
      <c r="C38" s="66"/>
      <c r="D38" s="65"/>
      <c r="E38" s="65"/>
      <c r="F38" s="65"/>
      <c r="G38" s="65"/>
      <c r="H38" s="65"/>
      <c r="I38" s="65"/>
      <c r="J38" s="65"/>
      <c r="K38" s="66"/>
      <c r="W38" s="65"/>
      <c r="X38" s="65"/>
    </row>
    <row r="39" ht="14.25" customHeight="1">
      <c r="A39" s="65"/>
      <c r="B39" s="66"/>
      <c r="C39" s="66"/>
      <c r="D39" s="65"/>
      <c r="E39" s="65"/>
      <c r="F39" s="65"/>
      <c r="G39" s="65"/>
      <c r="H39" s="65"/>
      <c r="I39" s="65"/>
      <c r="J39" s="65"/>
      <c r="K39" s="66"/>
      <c r="W39" s="65"/>
      <c r="X39" s="65"/>
    </row>
    <row r="40" ht="14.25" customHeight="1">
      <c r="A40" s="65"/>
      <c r="B40" s="66"/>
      <c r="C40" s="66"/>
      <c r="D40" s="65"/>
      <c r="E40" s="65"/>
      <c r="F40" s="65"/>
      <c r="G40" s="65"/>
      <c r="H40" s="65"/>
      <c r="I40" s="65"/>
      <c r="J40" s="65"/>
      <c r="K40" s="66"/>
      <c r="W40" s="65"/>
      <c r="X40" s="65"/>
    </row>
    <row r="41" ht="14.25" customHeight="1">
      <c r="A41" s="65"/>
      <c r="B41" s="66"/>
      <c r="C41" s="66"/>
      <c r="D41" s="65"/>
      <c r="E41" s="65"/>
      <c r="F41" s="65"/>
      <c r="G41" s="65"/>
      <c r="H41" s="65"/>
      <c r="I41" s="65"/>
      <c r="J41" s="65"/>
      <c r="K41" s="66"/>
      <c r="W41" s="65"/>
      <c r="X41" s="65"/>
    </row>
    <row r="42" ht="14.25" customHeight="1">
      <c r="A42" s="65"/>
      <c r="B42" s="66"/>
      <c r="C42" s="66"/>
      <c r="D42" s="65"/>
      <c r="E42" s="65"/>
      <c r="F42" s="65"/>
      <c r="G42" s="65"/>
      <c r="H42" s="65"/>
      <c r="I42" s="65"/>
      <c r="J42" s="65"/>
      <c r="K42" s="66"/>
      <c r="W42" s="65"/>
      <c r="X42" s="65"/>
    </row>
    <row r="43" ht="14.25" customHeight="1">
      <c r="A43" s="65"/>
      <c r="B43" s="66"/>
      <c r="C43" s="66"/>
      <c r="D43" s="65"/>
      <c r="E43" s="65"/>
      <c r="F43" s="65"/>
      <c r="G43" s="65"/>
      <c r="H43" s="65"/>
      <c r="I43" s="65"/>
      <c r="J43" s="65"/>
      <c r="K43" s="66"/>
      <c r="W43" s="65"/>
      <c r="X43" s="65"/>
    </row>
    <row r="44" ht="14.25" customHeight="1">
      <c r="A44" s="65"/>
      <c r="B44" s="66"/>
      <c r="C44" s="66"/>
      <c r="D44" s="65"/>
      <c r="E44" s="65"/>
      <c r="F44" s="65"/>
      <c r="G44" s="65"/>
      <c r="H44" s="65"/>
      <c r="I44" s="65"/>
      <c r="J44" s="65"/>
      <c r="K44" s="66"/>
      <c r="W44" s="65"/>
      <c r="X44" s="65"/>
    </row>
    <row r="45" ht="14.25" customHeight="1">
      <c r="A45" s="65"/>
      <c r="B45" s="66"/>
      <c r="C45" s="66"/>
      <c r="D45" s="65"/>
      <c r="E45" s="65"/>
      <c r="F45" s="65"/>
      <c r="G45" s="65"/>
      <c r="H45" s="65"/>
      <c r="I45" s="65"/>
      <c r="J45" s="65"/>
      <c r="K45" s="66"/>
      <c r="W45" s="65"/>
      <c r="X45" s="65"/>
    </row>
    <row r="46" ht="14.25" customHeight="1">
      <c r="A46" s="65"/>
      <c r="B46" s="66"/>
      <c r="C46" s="66"/>
      <c r="D46" s="65"/>
      <c r="E46" s="65"/>
      <c r="F46" s="65"/>
      <c r="G46" s="65"/>
      <c r="H46" s="65"/>
      <c r="I46" s="65"/>
      <c r="J46" s="65"/>
      <c r="K46" s="66"/>
      <c r="W46" s="65"/>
      <c r="X46" s="65"/>
    </row>
    <row r="47" ht="14.25" customHeight="1">
      <c r="A47" s="65"/>
      <c r="B47" s="66"/>
      <c r="C47" s="66"/>
      <c r="D47" s="65"/>
      <c r="E47" s="65"/>
      <c r="F47" s="65"/>
      <c r="G47" s="65"/>
      <c r="H47" s="65"/>
      <c r="I47" s="65"/>
      <c r="J47" s="65"/>
      <c r="K47" s="66"/>
      <c r="W47" s="65"/>
      <c r="X47" s="65"/>
    </row>
    <row r="48" ht="14.25" customHeight="1">
      <c r="A48" s="65"/>
      <c r="B48" s="66"/>
      <c r="C48" s="66"/>
      <c r="D48" s="65"/>
      <c r="E48" s="65"/>
      <c r="F48" s="65"/>
      <c r="G48" s="65"/>
      <c r="H48" s="65"/>
      <c r="I48" s="65"/>
      <c r="J48" s="65"/>
      <c r="K48" s="66"/>
      <c r="W48" s="65"/>
      <c r="X48" s="65"/>
    </row>
    <row r="49" ht="14.25" customHeight="1">
      <c r="A49" s="65"/>
      <c r="B49" s="66"/>
      <c r="C49" s="66"/>
      <c r="D49" s="65"/>
      <c r="E49" s="65"/>
      <c r="F49" s="65"/>
      <c r="G49" s="65"/>
      <c r="H49" s="65"/>
      <c r="I49" s="65"/>
      <c r="J49" s="65"/>
      <c r="K49" s="66"/>
      <c r="W49" s="65"/>
      <c r="X49" s="65"/>
    </row>
    <row r="50" ht="14.25" customHeight="1">
      <c r="A50" s="65"/>
      <c r="B50" s="66"/>
      <c r="C50" s="66"/>
      <c r="D50" s="65"/>
      <c r="E50" s="65"/>
      <c r="F50" s="65"/>
      <c r="G50" s="65"/>
      <c r="H50" s="65"/>
      <c r="I50" s="65"/>
      <c r="J50" s="65"/>
      <c r="K50" s="66"/>
      <c r="W50" s="65"/>
      <c r="X50" s="65"/>
    </row>
    <row r="51" ht="14.25" customHeight="1">
      <c r="A51" s="65"/>
      <c r="B51" s="66"/>
      <c r="C51" s="66"/>
      <c r="D51" s="65"/>
      <c r="E51" s="65"/>
      <c r="F51" s="65"/>
      <c r="G51" s="65"/>
      <c r="H51" s="65"/>
      <c r="I51" s="65"/>
      <c r="J51" s="65"/>
      <c r="K51" s="66"/>
      <c r="W51" s="65"/>
      <c r="X51" s="65"/>
    </row>
    <row r="52" ht="14.25" customHeight="1">
      <c r="A52" s="65"/>
      <c r="B52" s="66"/>
      <c r="C52" s="66"/>
      <c r="D52" s="65"/>
      <c r="E52" s="65"/>
      <c r="F52" s="65"/>
      <c r="G52" s="65"/>
      <c r="H52" s="65"/>
      <c r="I52" s="65"/>
      <c r="J52" s="65"/>
      <c r="K52" s="66"/>
      <c r="W52" s="65"/>
      <c r="X52" s="65"/>
    </row>
    <row r="53" ht="14.25" customHeight="1">
      <c r="A53" s="65"/>
      <c r="B53" s="66"/>
      <c r="C53" s="66"/>
      <c r="D53" s="65"/>
      <c r="E53" s="65"/>
      <c r="F53" s="65"/>
      <c r="G53" s="65"/>
      <c r="H53" s="65"/>
      <c r="I53" s="65"/>
      <c r="J53" s="65"/>
      <c r="K53" s="66"/>
      <c r="W53" s="65"/>
      <c r="X53" s="65"/>
    </row>
    <row r="54" ht="14.25" customHeight="1">
      <c r="A54" s="65"/>
      <c r="B54" s="66"/>
      <c r="C54" s="66"/>
      <c r="D54" s="65"/>
      <c r="E54" s="65"/>
      <c r="F54" s="65"/>
      <c r="G54" s="65"/>
      <c r="H54" s="65"/>
      <c r="I54" s="65"/>
      <c r="J54" s="65"/>
      <c r="K54" s="66"/>
      <c r="W54" s="65"/>
      <c r="X54" s="65"/>
    </row>
    <row r="55" ht="14.25" customHeight="1">
      <c r="A55" s="65"/>
      <c r="B55" s="66"/>
      <c r="C55" s="66"/>
      <c r="D55" s="65"/>
      <c r="E55" s="65"/>
      <c r="F55" s="65"/>
      <c r="G55" s="65"/>
      <c r="H55" s="65"/>
      <c r="I55" s="65"/>
      <c r="J55" s="65"/>
      <c r="K55" s="66"/>
      <c r="W55" s="65"/>
      <c r="X55" s="65"/>
    </row>
    <row r="56" ht="14.25" customHeight="1">
      <c r="A56" s="65"/>
      <c r="B56" s="66"/>
      <c r="C56" s="66"/>
      <c r="D56" s="65"/>
      <c r="E56" s="65"/>
      <c r="F56" s="65"/>
      <c r="G56" s="65"/>
      <c r="H56" s="65"/>
      <c r="I56" s="65"/>
      <c r="J56" s="65"/>
      <c r="K56" s="66"/>
      <c r="W56" s="65"/>
      <c r="X56" s="65"/>
    </row>
    <row r="57" ht="14.25" customHeight="1">
      <c r="A57" s="65"/>
      <c r="B57" s="66"/>
      <c r="C57" s="66"/>
      <c r="D57" s="65"/>
      <c r="E57" s="65"/>
      <c r="F57" s="65"/>
      <c r="G57" s="65"/>
      <c r="H57" s="65"/>
      <c r="I57" s="65"/>
      <c r="J57" s="65"/>
      <c r="K57" s="66"/>
      <c r="W57" s="65"/>
      <c r="X57" s="65"/>
    </row>
    <row r="58" ht="14.25" customHeight="1">
      <c r="A58" s="65"/>
      <c r="B58" s="66"/>
      <c r="C58" s="66"/>
      <c r="D58" s="65"/>
      <c r="E58" s="65"/>
      <c r="F58" s="65"/>
      <c r="G58" s="65"/>
      <c r="H58" s="65"/>
      <c r="I58" s="65"/>
      <c r="J58" s="65"/>
      <c r="K58" s="66"/>
      <c r="W58" s="65"/>
      <c r="X58" s="65"/>
    </row>
    <row r="59" ht="14.25" customHeight="1">
      <c r="A59" s="65"/>
      <c r="B59" s="66"/>
      <c r="C59" s="66"/>
      <c r="D59" s="65"/>
      <c r="E59" s="65"/>
      <c r="F59" s="65"/>
      <c r="G59" s="65"/>
      <c r="H59" s="65"/>
      <c r="I59" s="65"/>
      <c r="J59" s="65"/>
      <c r="K59" s="66"/>
      <c r="W59" s="65"/>
      <c r="X59" s="65"/>
    </row>
    <row r="60" ht="14.25" customHeight="1">
      <c r="A60" s="65"/>
      <c r="B60" s="66"/>
      <c r="C60" s="66"/>
      <c r="D60" s="65"/>
      <c r="E60" s="65"/>
      <c r="F60" s="65"/>
      <c r="G60" s="65"/>
      <c r="H60" s="65"/>
      <c r="I60" s="65"/>
      <c r="J60" s="65"/>
      <c r="K60" s="66"/>
      <c r="W60" s="65"/>
      <c r="X60" s="65"/>
    </row>
    <row r="61" ht="14.25" customHeight="1">
      <c r="A61" s="65"/>
      <c r="B61" s="66"/>
      <c r="C61" s="66"/>
      <c r="D61" s="65"/>
      <c r="E61" s="65"/>
      <c r="F61" s="65"/>
      <c r="G61" s="65"/>
      <c r="H61" s="65"/>
      <c r="I61" s="65"/>
      <c r="J61" s="65"/>
      <c r="K61" s="66"/>
      <c r="W61" s="65"/>
      <c r="X61" s="65"/>
    </row>
    <row r="62" ht="14.25" customHeight="1">
      <c r="A62" s="65"/>
      <c r="B62" s="66"/>
      <c r="C62" s="66"/>
      <c r="D62" s="65"/>
      <c r="E62" s="65"/>
      <c r="F62" s="65"/>
      <c r="G62" s="65"/>
      <c r="H62" s="65"/>
      <c r="I62" s="65"/>
      <c r="J62" s="65"/>
      <c r="K62" s="66"/>
      <c r="W62" s="65"/>
      <c r="X62" s="65"/>
    </row>
    <row r="63" ht="14.25" customHeight="1">
      <c r="A63" s="65"/>
      <c r="B63" s="66"/>
      <c r="C63" s="66"/>
      <c r="D63" s="65"/>
      <c r="E63" s="65"/>
      <c r="F63" s="65"/>
      <c r="G63" s="65"/>
      <c r="H63" s="65"/>
      <c r="I63" s="65"/>
      <c r="J63" s="65"/>
      <c r="K63" s="66"/>
      <c r="W63" s="65"/>
      <c r="X63" s="65"/>
    </row>
    <row r="64" ht="14.25" customHeight="1">
      <c r="A64" s="65"/>
      <c r="B64" s="66"/>
      <c r="C64" s="66"/>
      <c r="D64" s="65"/>
      <c r="E64" s="65"/>
      <c r="F64" s="65"/>
      <c r="G64" s="65"/>
      <c r="H64" s="65"/>
      <c r="I64" s="65"/>
      <c r="J64" s="65"/>
      <c r="K64" s="66"/>
      <c r="W64" s="65"/>
      <c r="X64" s="65"/>
    </row>
    <row r="65" ht="14.25" customHeight="1">
      <c r="A65" s="65"/>
      <c r="B65" s="66"/>
      <c r="C65" s="66"/>
      <c r="D65" s="65"/>
      <c r="E65" s="65"/>
      <c r="F65" s="65"/>
      <c r="G65" s="65"/>
      <c r="H65" s="65"/>
      <c r="I65" s="65"/>
      <c r="J65" s="65"/>
      <c r="K65" s="66"/>
      <c r="W65" s="65"/>
      <c r="X65" s="65"/>
    </row>
    <row r="66" ht="14.25" customHeight="1">
      <c r="A66" s="65"/>
      <c r="B66" s="66"/>
      <c r="C66" s="66"/>
      <c r="D66" s="65"/>
      <c r="E66" s="65"/>
      <c r="F66" s="65"/>
      <c r="G66" s="65"/>
      <c r="H66" s="65"/>
      <c r="I66" s="65"/>
      <c r="J66" s="65"/>
      <c r="K66" s="66"/>
      <c r="W66" s="65"/>
      <c r="X66" s="65"/>
    </row>
    <row r="67" ht="14.25" customHeight="1">
      <c r="A67" s="65"/>
      <c r="B67" s="66"/>
      <c r="C67" s="66"/>
      <c r="D67" s="65"/>
      <c r="E67" s="65"/>
      <c r="F67" s="65"/>
      <c r="G67" s="65"/>
      <c r="H67" s="65"/>
      <c r="I67" s="65"/>
      <c r="J67" s="65"/>
      <c r="K67" s="66"/>
      <c r="W67" s="65"/>
      <c r="X67" s="65"/>
    </row>
    <row r="68" ht="14.25" customHeight="1">
      <c r="A68" s="65"/>
      <c r="B68" s="66"/>
      <c r="C68" s="66"/>
      <c r="D68" s="65"/>
      <c r="E68" s="65"/>
      <c r="F68" s="65"/>
      <c r="G68" s="65"/>
      <c r="H68" s="65"/>
      <c r="I68" s="65"/>
      <c r="J68" s="65"/>
      <c r="K68" s="66"/>
      <c r="W68" s="65"/>
      <c r="X68" s="65"/>
    </row>
    <row r="69" ht="14.25" customHeight="1">
      <c r="A69" s="65"/>
      <c r="B69" s="66"/>
      <c r="C69" s="66"/>
      <c r="D69" s="65"/>
      <c r="E69" s="65"/>
      <c r="F69" s="65"/>
      <c r="G69" s="65"/>
      <c r="H69" s="65"/>
      <c r="I69" s="65"/>
      <c r="J69" s="65"/>
      <c r="K69" s="66"/>
      <c r="W69" s="65"/>
      <c r="X69" s="65"/>
    </row>
    <row r="70" ht="14.25" customHeight="1">
      <c r="A70" s="65"/>
      <c r="B70" s="66"/>
      <c r="C70" s="66"/>
      <c r="D70" s="65"/>
      <c r="E70" s="65"/>
      <c r="F70" s="65"/>
      <c r="G70" s="65"/>
      <c r="H70" s="65"/>
      <c r="I70" s="65"/>
      <c r="J70" s="65"/>
      <c r="K70" s="66"/>
      <c r="W70" s="65"/>
      <c r="X70" s="65"/>
    </row>
    <row r="71" ht="14.25" customHeight="1">
      <c r="A71" s="65"/>
      <c r="B71" s="66"/>
      <c r="C71" s="66"/>
      <c r="D71" s="65"/>
      <c r="E71" s="65"/>
      <c r="F71" s="65"/>
      <c r="G71" s="65"/>
      <c r="H71" s="65"/>
      <c r="I71" s="65"/>
      <c r="J71" s="65"/>
      <c r="K71" s="66"/>
      <c r="W71" s="65"/>
      <c r="X71" s="65"/>
    </row>
    <row r="72" ht="14.25" customHeight="1">
      <c r="A72" s="65"/>
      <c r="B72" s="66"/>
      <c r="C72" s="66"/>
      <c r="D72" s="65"/>
      <c r="E72" s="65"/>
      <c r="F72" s="65"/>
      <c r="G72" s="65"/>
      <c r="H72" s="65"/>
      <c r="I72" s="65"/>
      <c r="J72" s="65"/>
      <c r="K72" s="66"/>
      <c r="W72" s="65"/>
      <c r="X72" s="65"/>
    </row>
    <row r="73" ht="14.25" customHeight="1">
      <c r="A73" s="65"/>
      <c r="B73" s="66"/>
      <c r="C73" s="66"/>
      <c r="D73" s="65"/>
      <c r="E73" s="65"/>
      <c r="F73" s="65"/>
      <c r="G73" s="65"/>
      <c r="H73" s="65"/>
      <c r="I73" s="65"/>
      <c r="J73" s="65"/>
      <c r="K73" s="66"/>
      <c r="W73" s="65"/>
      <c r="X73" s="65"/>
    </row>
    <row r="74" ht="14.25" customHeight="1">
      <c r="A74" s="65"/>
      <c r="B74" s="66"/>
      <c r="C74" s="66"/>
      <c r="D74" s="65"/>
      <c r="E74" s="65"/>
      <c r="F74" s="65"/>
      <c r="G74" s="65"/>
      <c r="H74" s="65"/>
      <c r="I74" s="65"/>
      <c r="J74" s="65"/>
      <c r="K74" s="66"/>
      <c r="W74" s="65"/>
      <c r="X74" s="65"/>
    </row>
    <row r="75" ht="14.25" customHeight="1">
      <c r="A75" s="65"/>
      <c r="B75" s="66"/>
      <c r="C75" s="66"/>
      <c r="D75" s="65"/>
      <c r="E75" s="65"/>
      <c r="F75" s="65"/>
      <c r="G75" s="65"/>
      <c r="H75" s="65"/>
      <c r="I75" s="65"/>
      <c r="J75" s="65"/>
      <c r="K75" s="66"/>
      <c r="W75" s="65"/>
      <c r="X75" s="65"/>
    </row>
    <row r="76" ht="14.25" customHeight="1">
      <c r="A76" s="65"/>
      <c r="B76" s="66"/>
      <c r="C76" s="66"/>
      <c r="D76" s="65"/>
      <c r="E76" s="65"/>
      <c r="F76" s="65"/>
      <c r="G76" s="65"/>
      <c r="H76" s="65"/>
      <c r="I76" s="65"/>
      <c r="J76" s="65"/>
      <c r="K76" s="66"/>
      <c r="W76" s="65"/>
      <c r="X76" s="65"/>
    </row>
    <row r="77" ht="14.25" customHeight="1">
      <c r="A77" s="65"/>
      <c r="B77" s="66"/>
      <c r="C77" s="66"/>
      <c r="D77" s="65"/>
      <c r="E77" s="65"/>
      <c r="F77" s="65"/>
      <c r="G77" s="65"/>
      <c r="H77" s="65"/>
      <c r="I77" s="65"/>
      <c r="J77" s="65"/>
      <c r="K77" s="66"/>
      <c r="W77" s="65"/>
      <c r="X77" s="65"/>
    </row>
    <row r="78" ht="14.25" customHeight="1">
      <c r="A78" s="65"/>
      <c r="B78" s="66"/>
      <c r="C78" s="66"/>
      <c r="D78" s="65"/>
      <c r="E78" s="65"/>
      <c r="F78" s="65"/>
      <c r="G78" s="65"/>
      <c r="H78" s="65"/>
      <c r="I78" s="65"/>
      <c r="J78" s="65"/>
      <c r="K78" s="66"/>
      <c r="W78" s="65"/>
      <c r="X78" s="65"/>
    </row>
    <row r="79" ht="14.25" customHeight="1">
      <c r="A79" s="65"/>
      <c r="B79" s="66"/>
      <c r="C79" s="66"/>
      <c r="D79" s="65"/>
      <c r="E79" s="65"/>
      <c r="F79" s="65"/>
      <c r="G79" s="65"/>
      <c r="H79" s="65"/>
      <c r="I79" s="65"/>
      <c r="J79" s="65"/>
      <c r="K79" s="66"/>
      <c r="W79" s="65"/>
      <c r="X79" s="65"/>
    </row>
    <row r="80" ht="14.25" customHeight="1">
      <c r="A80" s="65"/>
      <c r="B80" s="66"/>
      <c r="C80" s="66"/>
      <c r="D80" s="65"/>
      <c r="E80" s="65"/>
      <c r="F80" s="65"/>
      <c r="G80" s="65"/>
      <c r="H80" s="65"/>
      <c r="I80" s="65"/>
      <c r="J80" s="65"/>
      <c r="K80" s="66"/>
      <c r="W80" s="65"/>
      <c r="X80" s="65"/>
    </row>
    <row r="81" ht="14.25" customHeight="1">
      <c r="A81" s="65"/>
      <c r="B81" s="66"/>
      <c r="C81" s="66"/>
      <c r="D81" s="65"/>
      <c r="E81" s="65"/>
      <c r="F81" s="65"/>
      <c r="G81" s="65"/>
      <c r="H81" s="65"/>
      <c r="I81" s="65"/>
      <c r="J81" s="65"/>
      <c r="K81" s="66"/>
      <c r="W81" s="65"/>
      <c r="X81" s="65"/>
    </row>
    <row r="82" ht="14.25" customHeight="1">
      <c r="A82" s="65"/>
      <c r="B82" s="66"/>
      <c r="C82" s="66"/>
      <c r="D82" s="65"/>
      <c r="E82" s="65"/>
      <c r="F82" s="65"/>
      <c r="G82" s="65"/>
      <c r="H82" s="65"/>
      <c r="I82" s="65"/>
      <c r="J82" s="65"/>
      <c r="K82" s="66"/>
      <c r="W82" s="65"/>
      <c r="X82" s="65"/>
    </row>
    <row r="83" ht="14.25" customHeight="1">
      <c r="A83" s="65"/>
      <c r="B83" s="66"/>
      <c r="C83" s="66"/>
      <c r="D83" s="65"/>
      <c r="E83" s="65"/>
      <c r="F83" s="65"/>
      <c r="G83" s="65"/>
      <c r="H83" s="65"/>
      <c r="I83" s="65"/>
      <c r="J83" s="65"/>
      <c r="K83" s="66"/>
      <c r="W83" s="65"/>
      <c r="X83" s="65"/>
    </row>
    <row r="84" ht="14.25" customHeight="1">
      <c r="A84" s="65"/>
      <c r="B84" s="66"/>
      <c r="C84" s="66"/>
      <c r="D84" s="65"/>
      <c r="E84" s="65"/>
      <c r="F84" s="65"/>
      <c r="G84" s="65"/>
      <c r="H84" s="65"/>
      <c r="I84" s="65"/>
      <c r="J84" s="65"/>
      <c r="K84" s="66"/>
      <c r="W84" s="65"/>
      <c r="X84" s="65"/>
    </row>
    <row r="85" ht="14.25" customHeight="1">
      <c r="A85" s="65"/>
      <c r="B85" s="66"/>
      <c r="C85" s="66"/>
      <c r="D85" s="65"/>
      <c r="E85" s="65"/>
      <c r="F85" s="65"/>
      <c r="G85" s="65"/>
      <c r="H85" s="65"/>
      <c r="I85" s="65"/>
      <c r="J85" s="65"/>
      <c r="K85" s="66"/>
      <c r="W85" s="65"/>
      <c r="X85" s="65"/>
    </row>
    <row r="86" ht="14.25" customHeight="1">
      <c r="A86" s="65"/>
      <c r="B86" s="66"/>
      <c r="C86" s="66"/>
      <c r="D86" s="65"/>
      <c r="E86" s="65"/>
      <c r="F86" s="65"/>
      <c r="G86" s="65"/>
      <c r="H86" s="65"/>
      <c r="I86" s="65"/>
      <c r="J86" s="65"/>
      <c r="K86" s="66"/>
      <c r="W86" s="65"/>
      <c r="X86" s="65"/>
    </row>
    <row r="87" ht="14.25" customHeight="1">
      <c r="A87" s="65"/>
      <c r="B87" s="66"/>
      <c r="C87" s="66"/>
      <c r="D87" s="65"/>
      <c r="E87" s="65"/>
      <c r="F87" s="65"/>
      <c r="G87" s="65"/>
      <c r="H87" s="65"/>
      <c r="I87" s="65"/>
      <c r="J87" s="65"/>
      <c r="K87" s="66"/>
      <c r="W87" s="65"/>
      <c r="X87" s="65"/>
    </row>
    <row r="88" ht="14.25" customHeight="1">
      <c r="A88" s="65"/>
      <c r="B88" s="66"/>
      <c r="C88" s="66"/>
      <c r="D88" s="65"/>
      <c r="E88" s="65"/>
      <c r="F88" s="65"/>
      <c r="G88" s="65"/>
      <c r="H88" s="65"/>
      <c r="I88" s="65"/>
      <c r="J88" s="65"/>
      <c r="K88" s="66"/>
      <c r="W88" s="65"/>
      <c r="X88" s="65"/>
    </row>
    <row r="89" ht="14.25" customHeight="1">
      <c r="A89" s="65"/>
      <c r="B89" s="66"/>
      <c r="C89" s="66"/>
      <c r="D89" s="65"/>
      <c r="E89" s="65"/>
      <c r="F89" s="65"/>
      <c r="G89" s="65"/>
      <c r="H89" s="65"/>
      <c r="I89" s="65"/>
      <c r="J89" s="65"/>
      <c r="K89" s="66"/>
      <c r="W89" s="65"/>
      <c r="X89" s="65"/>
    </row>
    <row r="90" ht="14.25" customHeight="1">
      <c r="A90" s="65"/>
      <c r="B90" s="66"/>
      <c r="C90" s="66"/>
      <c r="D90" s="65"/>
      <c r="E90" s="65"/>
      <c r="F90" s="65"/>
      <c r="G90" s="65"/>
      <c r="H90" s="65"/>
      <c r="I90" s="65"/>
      <c r="J90" s="65"/>
      <c r="K90" s="66"/>
      <c r="W90" s="65"/>
      <c r="X90" s="65"/>
    </row>
    <row r="91" ht="14.25" customHeight="1">
      <c r="A91" s="65"/>
      <c r="B91" s="66"/>
      <c r="C91" s="66"/>
      <c r="D91" s="65"/>
      <c r="E91" s="65"/>
      <c r="F91" s="65"/>
      <c r="G91" s="65"/>
      <c r="H91" s="65"/>
      <c r="I91" s="65"/>
      <c r="J91" s="65"/>
      <c r="K91" s="66"/>
      <c r="W91" s="65"/>
      <c r="X91" s="65"/>
    </row>
    <row r="92" ht="14.25" customHeight="1">
      <c r="A92" s="65"/>
      <c r="B92" s="66"/>
      <c r="C92" s="66"/>
      <c r="D92" s="65"/>
      <c r="E92" s="65"/>
      <c r="F92" s="65"/>
      <c r="G92" s="65"/>
      <c r="H92" s="65"/>
      <c r="I92" s="65"/>
      <c r="J92" s="65"/>
      <c r="K92" s="66"/>
      <c r="W92" s="65"/>
      <c r="X92" s="65"/>
    </row>
    <row r="93" ht="14.25" customHeight="1">
      <c r="A93" s="65"/>
      <c r="B93" s="66"/>
      <c r="C93" s="66"/>
      <c r="D93" s="65"/>
      <c r="E93" s="65"/>
      <c r="F93" s="65"/>
      <c r="G93" s="65"/>
      <c r="H93" s="65"/>
      <c r="I93" s="65"/>
      <c r="J93" s="65"/>
      <c r="K93" s="66"/>
      <c r="W93" s="65"/>
      <c r="X93" s="65"/>
    </row>
    <row r="94" ht="14.25" customHeight="1">
      <c r="A94" s="65"/>
      <c r="B94" s="66"/>
      <c r="C94" s="66"/>
      <c r="D94" s="65"/>
      <c r="E94" s="65"/>
      <c r="F94" s="65"/>
      <c r="G94" s="65"/>
      <c r="H94" s="65"/>
      <c r="I94" s="65"/>
      <c r="J94" s="65"/>
      <c r="K94" s="66"/>
      <c r="W94" s="65"/>
      <c r="X94" s="65"/>
    </row>
    <row r="95" ht="14.25" customHeight="1">
      <c r="A95" s="65"/>
      <c r="B95" s="66"/>
      <c r="C95" s="66"/>
      <c r="D95" s="65"/>
      <c r="E95" s="65"/>
      <c r="F95" s="65"/>
      <c r="G95" s="65"/>
      <c r="H95" s="65"/>
      <c r="I95" s="65"/>
      <c r="J95" s="65"/>
      <c r="K95" s="66"/>
      <c r="W95" s="65"/>
      <c r="X95" s="65"/>
    </row>
    <row r="96" ht="14.25" customHeight="1">
      <c r="A96" s="65"/>
      <c r="B96" s="66"/>
      <c r="C96" s="66"/>
      <c r="D96" s="65"/>
      <c r="E96" s="65"/>
      <c r="F96" s="65"/>
      <c r="G96" s="65"/>
      <c r="H96" s="65"/>
      <c r="I96" s="65"/>
      <c r="J96" s="65"/>
      <c r="K96" s="66"/>
      <c r="W96" s="65"/>
      <c r="X96" s="65"/>
    </row>
    <row r="97" ht="14.25" customHeight="1">
      <c r="A97" s="65"/>
      <c r="B97" s="66"/>
      <c r="C97" s="66"/>
      <c r="D97" s="65"/>
      <c r="E97" s="65"/>
      <c r="F97" s="65"/>
      <c r="G97" s="65"/>
      <c r="H97" s="65"/>
      <c r="I97" s="65"/>
      <c r="J97" s="65"/>
      <c r="K97" s="66"/>
      <c r="W97" s="65"/>
      <c r="X97" s="65"/>
    </row>
    <row r="98" ht="14.25" customHeight="1">
      <c r="A98" s="65"/>
      <c r="B98" s="66"/>
      <c r="C98" s="66"/>
      <c r="D98" s="65"/>
      <c r="E98" s="65"/>
      <c r="F98" s="65"/>
      <c r="G98" s="65"/>
      <c r="H98" s="65"/>
      <c r="I98" s="65"/>
      <c r="J98" s="65"/>
      <c r="K98" s="66"/>
      <c r="W98" s="65"/>
      <c r="X98" s="65"/>
    </row>
    <row r="99" ht="14.25" customHeight="1">
      <c r="A99" s="65"/>
      <c r="B99" s="66"/>
      <c r="C99" s="66"/>
      <c r="D99" s="65"/>
      <c r="E99" s="65"/>
      <c r="F99" s="65"/>
      <c r="G99" s="65"/>
      <c r="H99" s="65"/>
      <c r="I99" s="65"/>
      <c r="J99" s="65"/>
      <c r="K99" s="66"/>
      <c r="W99" s="65"/>
      <c r="X99" s="65"/>
    </row>
    <row r="100" ht="14.25" customHeight="1">
      <c r="A100" s="65"/>
      <c r="B100" s="66"/>
      <c r="C100" s="66"/>
      <c r="D100" s="65"/>
      <c r="E100" s="65"/>
      <c r="F100" s="65"/>
      <c r="G100" s="65"/>
      <c r="H100" s="65"/>
      <c r="I100" s="65"/>
      <c r="J100" s="65"/>
      <c r="K100" s="66"/>
      <c r="W100" s="65"/>
      <c r="X100" s="65"/>
    </row>
    <row r="101" ht="14.25" customHeight="1">
      <c r="A101" s="65"/>
      <c r="B101" s="66"/>
      <c r="C101" s="66"/>
      <c r="D101" s="65"/>
      <c r="E101" s="65"/>
      <c r="F101" s="65"/>
      <c r="G101" s="65"/>
      <c r="H101" s="65"/>
      <c r="I101" s="65"/>
      <c r="J101" s="65"/>
      <c r="K101" s="66"/>
      <c r="W101" s="65"/>
      <c r="X101" s="65"/>
    </row>
    <row r="102" ht="14.25" customHeight="1">
      <c r="A102" s="65"/>
      <c r="B102" s="66"/>
      <c r="C102" s="66"/>
      <c r="D102" s="65"/>
      <c r="E102" s="65"/>
      <c r="F102" s="65"/>
      <c r="G102" s="65"/>
      <c r="H102" s="65"/>
      <c r="I102" s="65"/>
      <c r="J102" s="65"/>
      <c r="K102" s="66"/>
      <c r="W102" s="65"/>
      <c r="X102" s="65"/>
    </row>
    <row r="103" ht="14.25" customHeight="1">
      <c r="A103" s="65"/>
      <c r="B103" s="66"/>
      <c r="C103" s="66"/>
      <c r="D103" s="65"/>
      <c r="E103" s="65"/>
      <c r="F103" s="65"/>
      <c r="G103" s="65"/>
      <c r="H103" s="65"/>
      <c r="I103" s="65"/>
      <c r="J103" s="65"/>
      <c r="K103" s="66"/>
      <c r="W103" s="65"/>
      <c r="X103" s="65"/>
    </row>
    <row r="104" ht="14.25" customHeight="1">
      <c r="A104" s="65"/>
      <c r="B104" s="66"/>
      <c r="C104" s="66"/>
      <c r="D104" s="65"/>
      <c r="E104" s="65"/>
      <c r="F104" s="65"/>
      <c r="G104" s="65"/>
      <c r="H104" s="65"/>
      <c r="I104" s="65"/>
      <c r="J104" s="65"/>
      <c r="K104" s="66"/>
      <c r="W104" s="65"/>
      <c r="X104" s="65"/>
    </row>
    <row r="105" ht="14.25" customHeight="1">
      <c r="A105" s="65"/>
      <c r="B105" s="66"/>
      <c r="C105" s="66"/>
      <c r="D105" s="65"/>
      <c r="E105" s="65"/>
      <c r="F105" s="65"/>
      <c r="G105" s="65"/>
      <c r="H105" s="65"/>
      <c r="I105" s="65"/>
      <c r="J105" s="65"/>
      <c r="K105" s="66"/>
      <c r="W105" s="65"/>
      <c r="X105" s="65"/>
    </row>
    <row r="106" ht="14.25" customHeight="1">
      <c r="A106" s="65"/>
      <c r="B106" s="66"/>
      <c r="C106" s="66"/>
      <c r="D106" s="65"/>
      <c r="E106" s="65"/>
      <c r="F106" s="65"/>
      <c r="G106" s="65"/>
      <c r="H106" s="65"/>
      <c r="I106" s="65"/>
      <c r="J106" s="65"/>
      <c r="K106" s="66"/>
      <c r="W106" s="65"/>
      <c r="X106" s="65"/>
    </row>
    <row r="107" ht="14.25" customHeight="1">
      <c r="A107" s="65"/>
      <c r="B107" s="66"/>
      <c r="C107" s="66"/>
      <c r="D107" s="65"/>
      <c r="E107" s="65"/>
      <c r="F107" s="65"/>
      <c r="G107" s="65"/>
      <c r="H107" s="65"/>
      <c r="I107" s="65"/>
      <c r="J107" s="65"/>
      <c r="K107" s="66"/>
      <c r="W107" s="65"/>
      <c r="X107" s="65"/>
    </row>
    <row r="108" ht="14.25" customHeight="1">
      <c r="A108" s="65"/>
      <c r="B108" s="66"/>
      <c r="C108" s="66"/>
      <c r="D108" s="65"/>
      <c r="E108" s="65"/>
      <c r="F108" s="65"/>
      <c r="G108" s="65"/>
      <c r="H108" s="65"/>
      <c r="I108" s="65"/>
      <c r="J108" s="65"/>
      <c r="K108" s="66"/>
      <c r="W108" s="65"/>
      <c r="X108" s="65"/>
    </row>
    <row r="109" ht="14.25" customHeight="1">
      <c r="A109" s="65"/>
      <c r="B109" s="66"/>
      <c r="C109" s="66"/>
      <c r="D109" s="65"/>
      <c r="E109" s="65"/>
      <c r="F109" s="65"/>
      <c r="G109" s="65"/>
      <c r="H109" s="65"/>
      <c r="I109" s="65"/>
      <c r="J109" s="65"/>
      <c r="K109" s="66"/>
      <c r="W109" s="65"/>
      <c r="X109" s="65"/>
    </row>
    <row r="110" ht="14.25" customHeight="1">
      <c r="A110" s="65"/>
      <c r="B110" s="66"/>
      <c r="C110" s="66"/>
      <c r="D110" s="65"/>
      <c r="E110" s="65"/>
      <c r="F110" s="65"/>
      <c r="G110" s="65"/>
      <c r="H110" s="65"/>
      <c r="I110" s="65"/>
      <c r="J110" s="65"/>
      <c r="K110" s="66"/>
      <c r="W110" s="65"/>
      <c r="X110" s="65"/>
    </row>
    <row r="111" ht="14.25" customHeight="1">
      <c r="A111" s="65"/>
      <c r="B111" s="66"/>
      <c r="C111" s="66"/>
      <c r="D111" s="65"/>
      <c r="E111" s="65"/>
      <c r="F111" s="65"/>
      <c r="G111" s="65"/>
      <c r="H111" s="65"/>
      <c r="I111" s="65"/>
      <c r="J111" s="65"/>
      <c r="K111" s="66"/>
      <c r="W111" s="65"/>
      <c r="X111" s="65"/>
    </row>
    <row r="112" ht="14.25" customHeight="1">
      <c r="A112" s="65"/>
      <c r="B112" s="66"/>
      <c r="C112" s="66"/>
      <c r="D112" s="65"/>
      <c r="E112" s="65"/>
      <c r="F112" s="65"/>
      <c r="G112" s="65"/>
      <c r="H112" s="65"/>
      <c r="I112" s="65"/>
      <c r="J112" s="65"/>
      <c r="K112" s="66"/>
      <c r="W112" s="65"/>
      <c r="X112" s="65"/>
    </row>
    <row r="113" ht="14.25" customHeight="1">
      <c r="A113" s="65"/>
      <c r="B113" s="66"/>
      <c r="C113" s="66"/>
      <c r="D113" s="65"/>
      <c r="E113" s="65"/>
      <c r="F113" s="65"/>
      <c r="G113" s="65"/>
      <c r="H113" s="65"/>
      <c r="I113" s="65"/>
      <c r="J113" s="65"/>
      <c r="K113" s="66"/>
      <c r="W113" s="65"/>
      <c r="X113" s="65"/>
    </row>
    <row r="114" ht="14.25" customHeight="1">
      <c r="A114" s="65"/>
      <c r="B114" s="66"/>
      <c r="C114" s="66"/>
      <c r="D114" s="65"/>
      <c r="E114" s="65"/>
      <c r="F114" s="65"/>
      <c r="G114" s="65"/>
      <c r="H114" s="65"/>
      <c r="I114" s="65"/>
      <c r="J114" s="65"/>
      <c r="K114" s="66"/>
      <c r="W114" s="65"/>
      <c r="X114" s="65"/>
    </row>
    <row r="115" ht="14.25" customHeight="1">
      <c r="A115" s="65"/>
      <c r="B115" s="66"/>
      <c r="C115" s="66"/>
      <c r="D115" s="65"/>
      <c r="E115" s="65"/>
      <c r="F115" s="65"/>
      <c r="G115" s="65"/>
      <c r="H115" s="65"/>
      <c r="I115" s="65"/>
      <c r="J115" s="65"/>
      <c r="K115" s="66"/>
      <c r="W115" s="65"/>
      <c r="X115" s="65"/>
    </row>
    <row r="116" ht="14.25" customHeight="1">
      <c r="A116" s="65"/>
      <c r="B116" s="66"/>
      <c r="C116" s="66"/>
      <c r="D116" s="65"/>
      <c r="E116" s="65"/>
      <c r="F116" s="65"/>
      <c r="G116" s="65"/>
      <c r="H116" s="65"/>
      <c r="I116" s="65"/>
      <c r="J116" s="65"/>
      <c r="K116" s="66"/>
      <c r="W116" s="65"/>
      <c r="X116" s="65"/>
    </row>
    <row r="117" ht="14.25" customHeight="1">
      <c r="A117" s="65"/>
      <c r="B117" s="66"/>
      <c r="C117" s="66"/>
      <c r="D117" s="65"/>
      <c r="E117" s="65"/>
      <c r="F117" s="65"/>
      <c r="G117" s="65"/>
      <c r="H117" s="65"/>
      <c r="I117" s="65"/>
      <c r="J117" s="65"/>
      <c r="K117" s="66"/>
      <c r="W117" s="65"/>
      <c r="X117" s="65"/>
    </row>
    <row r="118" ht="14.25" customHeight="1">
      <c r="A118" s="65"/>
      <c r="B118" s="66"/>
      <c r="C118" s="66"/>
      <c r="D118" s="65"/>
      <c r="E118" s="65"/>
      <c r="F118" s="65"/>
      <c r="G118" s="65"/>
      <c r="H118" s="65"/>
      <c r="I118" s="65"/>
      <c r="J118" s="65"/>
      <c r="K118" s="66"/>
      <c r="W118" s="65"/>
      <c r="X118" s="65"/>
    </row>
    <row r="119" ht="14.25" customHeight="1">
      <c r="A119" s="65"/>
      <c r="B119" s="66"/>
      <c r="C119" s="66"/>
      <c r="D119" s="65"/>
      <c r="E119" s="65"/>
      <c r="F119" s="65"/>
      <c r="G119" s="65"/>
      <c r="H119" s="65"/>
      <c r="I119" s="65"/>
      <c r="J119" s="65"/>
      <c r="K119" s="66"/>
      <c r="W119" s="65"/>
      <c r="X119" s="65"/>
    </row>
    <row r="120" ht="14.25" customHeight="1">
      <c r="A120" s="65"/>
      <c r="B120" s="66"/>
      <c r="C120" s="66"/>
      <c r="D120" s="65"/>
      <c r="E120" s="65"/>
      <c r="F120" s="65"/>
      <c r="G120" s="65"/>
      <c r="H120" s="65"/>
      <c r="I120" s="65"/>
      <c r="J120" s="65"/>
      <c r="K120" s="66"/>
      <c r="W120" s="65"/>
      <c r="X120" s="65"/>
    </row>
    <row r="121" ht="14.25" customHeight="1">
      <c r="A121" s="65"/>
      <c r="B121" s="66"/>
      <c r="C121" s="66"/>
      <c r="D121" s="65"/>
      <c r="E121" s="65"/>
      <c r="F121" s="65"/>
      <c r="G121" s="65"/>
      <c r="H121" s="65"/>
      <c r="I121" s="65"/>
      <c r="J121" s="65"/>
      <c r="K121" s="66"/>
      <c r="W121" s="65"/>
      <c r="X121" s="65"/>
    </row>
    <row r="122" ht="14.25" customHeight="1">
      <c r="A122" s="65"/>
      <c r="B122" s="66"/>
      <c r="C122" s="66"/>
      <c r="D122" s="65"/>
      <c r="E122" s="65"/>
      <c r="F122" s="65"/>
      <c r="G122" s="65"/>
      <c r="H122" s="65"/>
      <c r="I122" s="65"/>
      <c r="J122" s="65"/>
      <c r="K122" s="66"/>
      <c r="W122" s="65"/>
      <c r="X122" s="65"/>
    </row>
    <row r="123" ht="14.25" customHeight="1">
      <c r="A123" s="65"/>
      <c r="B123" s="66"/>
      <c r="C123" s="66"/>
      <c r="D123" s="65"/>
      <c r="E123" s="65"/>
      <c r="F123" s="65"/>
      <c r="G123" s="65"/>
      <c r="H123" s="65"/>
      <c r="I123" s="65"/>
      <c r="J123" s="65"/>
      <c r="K123" s="66"/>
      <c r="W123" s="65"/>
      <c r="X123" s="65"/>
    </row>
    <row r="124" ht="14.25" customHeight="1">
      <c r="A124" s="65"/>
      <c r="B124" s="66"/>
      <c r="C124" s="66"/>
      <c r="D124" s="65"/>
      <c r="E124" s="65"/>
      <c r="F124" s="65"/>
      <c r="G124" s="65"/>
      <c r="H124" s="65"/>
      <c r="I124" s="65"/>
      <c r="J124" s="65"/>
      <c r="K124" s="66"/>
      <c r="W124" s="65"/>
      <c r="X124" s="65"/>
    </row>
    <row r="125" ht="14.25" customHeight="1">
      <c r="A125" s="65"/>
      <c r="B125" s="66"/>
      <c r="C125" s="66"/>
      <c r="D125" s="65"/>
      <c r="E125" s="65"/>
      <c r="F125" s="65"/>
      <c r="G125" s="65"/>
      <c r="H125" s="65"/>
      <c r="I125" s="65"/>
      <c r="J125" s="65"/>
      <c r="K125" s="66"/>
      <c r="W125" s="65"/>
      <c r="X125" s="65"/>
    </row>
    <row r="126" ht="14.25" customHeight="1">
      <c r="A126" s="65"/>
      <c r="B126" s="66"/>
      <c r="C126" s="66"/>
      <c r="D126" s="65"/>
      <c r="E126" s="65"/>
      <c r="F126" s="65"/>
      <c r="G126" s="65"/>
      <c r="H126" s="65"/>
      <c r="I126" s="65"/>
      <c r="J126" s="65"/>
      <c r="K126" s="66"/>
      <c r="W126" s="65"/>
      <c r="X126" s="65"/>
    </row>
    <row r="127" ht="14.25" customHeight="1">
      <c r="A127" s="65"/>
      <c r="B127" s="66"/>
      <c r="C127" s="66"/>
      <c r="D127" s="65"/>
      <c r="E127" s="65"/>
      <c r="F127" s="65"/>
      <c r="G127" s="65"/>
      <c r="H127" s="65"/>
      <c r="I127" s="65"/>
      <c r="J127" s="65"/>
      <c r="K127" s="66"/>
      <c r="W127" s="65"/>
      <c r="X127" s="65"/>
    </row>
    <row r="128" ht="14.25" customHeight="1">
      <c r="A128" s="65"/>
      <c r="B128" s="66"/>
      <c r="C128" s="66"/>
      <c r="D128" s="65"/>
      <c r="E128" s="65"/>
      <c r="F128" s="65"/>
      <c r="G128" s="65"/>
      <c r="H128" s="65"/>
      <c r="I128" s="65"/>
      <c r="J128" s="65"/>
      <c r="K128" s="66"/>
      <c r="W128" s="65"/>
      <c r="X128" s="65"/>
    </row>
    <row r="129" ht="14.25" customHeight="1">
      <c r="A129" s="65"/>
      <c r="B129" s="66"/>
      <c r="C129" s="66"/>
      <c r="D129" s="65"/>
      <c r="E129" s="65"/>
      <c r="F129" s="65"/>
      <c r="G129" s="65"/>
      <c r="H129" s="65"/>
      <c r="I129" s="65"/>
      <c r="J129" s="65"/>
      <c r="K129" s="66"/>
      <c r="W129" s="65"/>
      <c r="X129" s="65"/>
    </row>
    <row r="130" ht="14.25" customHeight="1">
      <c r="A130" s="65"/>
      <c r="B130" s="66"/>
      <c r="C130" s="66"/>
      <c r="D130" s="65"/>
      <c r="E130" s="65"/>
      <c r="F130" s="65"/>
      <c r="G130" s="65"/>
      <c r="H130" s="65"/>
      <c r="I130" s="65"/>
      <c r="J130" s="65"/>
      <c r="K130" s="66"/>
      <c r="N130" s="65"/>
      <c r="O130" s="65"/>
      <c r="P130" s="65"/>
      <c r="Q130" s="65"/>
      <c r="R130" s="74"/>
      <c r="S130" s="74"/>
      <c r="T130" s="65"/>
      <c r="U130" s="65"/>
      <c r="V130" s="65"/>
      <c r="W130" s="65"/>
      <c r="X130" s="65"/>
    </row>
    <row r="131" ht="14.25" customHeight="1">
      <c r="A131" s="65"/>
      <c r="B131" s="66"/>
      <c r="C131" s="66"/>
      <c r="D131" s="65"/>
      <c r="E131" s="65"/>
      <c r="F131" s="65"/>
      <c r="G131" s="65"/>
      <c r="H131" s="65"/>
      <c r="I131" s="65"/>
      <c r="J131" s="65"/>
      <c r="K131" s="66"/>
      <c r="N131" s="65"/>
      <c r="O131" s="65"/>
      <c r="P131" s="65"/>
      <c r="Q131" s="65"/>
      <c r="R131" s="74"/>
      <c r="S131" s="74"/>
      <c r="T131" s="65"/>
      <c r="U131" s="65"/>
      <c r="V131" s="65"/>
      <c r="W131" s="65"/>
      <c r="X131" s="65"/>
    </row>
    <row r="132" ht="14.25" customHeight="1">
      <c r="A132" s="65"/>
      <c r="B132" s="66"/>
      <c r="C132" s="66"/>
      <c r="D132" s="65"/>
      <c r="E132" s="65"/>
      <c r="F132" s="65"/>
      <c r="G132" s="65"/>
      <c r="H132" s="65"/>
      <c r="I132" s="65"/>
      <c r="J132" s="65"/>
      <c r="K132" s="66"/>
      <c r="N132" s="65"/>
      <c r="O132" s="65"/>
      <c r="P132" s="65"/>
      <c r="Q132" s="65"/>
      <c r="R132" s="74"/>
      <c r="S132" s="74"/>
      <c r="T132" s="65"/>
      <c r="U132" s="65"/>
      <c r="V132" s="65"/>
      <c r="W132" s="65"/>
      <c r="X132" s="65"/>
    </row>
    <row r="133" ht="14.25" customHeight="1">
      <c r="A133" s="65"/>
      <c r="B133" s="66"/>
      <c r="C133" s="66"/>
      <c r="D133" s="65"/>
      <c r="E133" s="65"/>
      <c r="F133" s="65"/>
      <c r="G133" s="65"/>
      <c r="H133" s="65"/>
      <c r="I133" s="65"/>
      <c r="J133" s="65"/>
      <c r="K133" s="66"/>
      <c r="N133" s="75"/>
      <c r="O133" s="76"/>
      <c r="P133" s="76"/>
      <c r="Q133" s="65"/>
      <c r="R133" s="74"/>
      <c r="S133" s="74"/>
      <c r="T133" s="65"/>
      <c r="U133" s="65"/>
      <c r="V133" s="65"/>
      <c r="W133" s="65"/>
      <c r="X133" s="65"/>
    </row>
    <row r="134" ht="14.25" customHeight="1">
      <c r="A134" s="65"/>
      <c r="B134" s="66"/>
      <c r="C134" s="66"/>
      <c r="D134" s="65"/>
      <c r="E134" s="65"/>
      <c r="F134" s="65"/>
      <c r="G134" s="65"/>
      <c r="H134" s="65"/>
      <c r="I134" s="65"/>
      <c r="J134" s="65"/>
      <c r="K134" s="66"/>
      <c r="N134" s="75"/>
      <c r="O134" s="76"/>
      <c r="P134" s="76"/>
      <c r="Q134" s="65"/>
      <c r="R134" s="74"/>
      <c r="S134" s="74"/>
      <c r="T134" s="65"/>
      <c r="U134" s="65"/>
      <c r="V134" s="65"/>
      <c r="W134" s="65"/>
      <c r="X134" s="65"/>
    </row>
    <row r="135" ht="14.25" customHeight="1">
      <c r="A135" s="65"/>
      <c r="B135" s="66"/>
      <c r="C135" s="66"/>
      <c r="D135" s="65"/>
      <c r="E135" s="65"/>
      <c r="F135" s="65"/>
      <c r="G135" s="65"/>
      <c r="H135" s="65"/>
      <c r="I135" s="65"/>
      <c r="J135" s="65"/>
      <c r="K135" s="66"/>
      <c r="N135" s="75"/>
      <c r="O135" s="76"/>
      <c r="P135" s="76"/>
      <c r="Q135" s="65"/>
      <c r="R135" s="74"/>
      <c r="S135" s="74"/>
      <c r="T135" s="65"/>
      <c r="U135" s="65"/>
      <c r="V135" s="65"/>
      <c r="W135" s="65"/>
      <c r="X135" s="65"/>
    </row>
    <row r="136" ht="14.25" customHeight="1">
      <c r="A136" s="65"/>
      <c r="B136" s="66"/>
      <c r="C136" s="66"/>
      <c r="D136" s="65"/>
      <c r="E136" s="65"/>
      <c r="F136" s="65"/>
      <c r="G136" s="65"/>
      <c r="H136" s="65"/>
      <c r="I136" s="65"/>
      <c r="J136" s="65"/>
      <c r="K136" s="66"/>
      <c r="N136" s="75"/>
      <c r="O136" s="76"/>
      <c r="P136" s="76"/>
      <c r="Q136" s="65"/>
      <c r="R136" s="74"/>
      <c r="S136" s="74"/>
      <c r="T136" s="65"/>
      <c r="U136" s="65"/>
      <c r="V136" s="65"/>
      <c r="W136" s="65"/>
      <c r="X136" s="65"/>
    </row>
    <row r="137" ht="14.25" customHeight="1">
      <c r="A137" s="65"/>
      <c r="B137" s="66"/>
      <c r="C137" s="66"/>
      <c r="D137" s="65"/>
      <c r="E137" s="65"/>
      <c r="F137" s="65"/>
      <c r="G137" s="65"/>
      <c r="H137" s="65"/>
      <c r="I137" s="65"/>
      <c r="J137" s="65"/>
      <c r="K137" s="66"/>
      <c r="N137" s="75"/>
      <c r="O137" s="76"/>
      <c r="P137" s="76"/>
      <c r="Q137" s="65"/>
      <c r="R137" s="74"/>
      <c r="S137" s="74"/>
      <c r="T137" s="65"/>
      <c r="U137" s="65"/>
      <c r="V137" s="65"/>
      <c r="W137" s="65"/>
      <c r="X137" s="65"/>
    </row>
    <row r="138" ht="14.25" customHeight="1">
      <c r="A138" s="65"/>
      <c r="B138" s="66"/>
      <c r="C138" s="66"/>
      <c r="D138" s="65"/>
      <c r="E138" s="65"/>
      <c r="F138" s="65"/>
      <c r="G138" s="65"/>
      <c r="H138" s="65"/>
      <c r="I138" s="65"/>
      <c r="J138" s="65"/>
      <c r="K138" s="66"/>
      <c r="N138" s="75"/>
      <c r="O138" s="76"/>
      <c r="P138" s="76"/>
      <c r="Q138" s="65"/>
      <c r="R138" s="74"/>
      <c r="S138" s="74"/>
      <c r="T138" s="65"/>
      <c r="U138" s="65"/>
      <c r="V138" s="65"/>
      <c r="W138" s="65"/>
      <c r="X138" s="65"/>
    </row>
    <row r="139" ht="14.25" customHeight="1">
      <c r="A139" s="65"/>
      <c r="B139" s="66"/>
      <c r="C139" s="66"/>
      <c r="D139" s="65"/>
      <c r="E139" s="65"/>
      <c r="F139" s="65"/>
      <c r="G139" s="65"/>
      <c r="H139" s="65"/>
      <c r="I139" s="65"/>
      <c r="J139" s="65"/>
      <c r="K139" s="66"/>
      <c r="N139" s="65"/>
      <c r="O139" s="65"/>
      <c r="P139" s="65"/>
      <c r="Q139" s="65"/>
      <c r="R139" s="74"/>
      <c r="S139" s="74"/>
      <c r="T139" s="65"/>
      <c r="U139" s="65"/>
      <c r="V139" s="65"/>
      <c r="W139" s="65"/>
      <c r="X139" s="65"/>
    </row>
    <row r="140" ht="14.25" customHeight="1">
      <c r="A140" s="65"/>
      <c r="B140" s="66"/>
      <c r="C140" s="66"/>
      <c r="D140" s="65"/>
      <c r="E140" s="65"/>
      <c r="F140" s="65"/>
      <c r="G140" s="65"/>
      <c r="H140" s="65"/>
      <c r="I140" s="65"/>
      <c r="J140" s="65"/>
      <c r="K140" s="66"/>
      <c r="N140" s="65"/>
      <c r="O140" s="65"/>
      <c r="P140" s="65"/>
      <c r="Q140" s="65"/>
      <c r="R140" s="74"/>
      <c r="S140" s="74"/>
      <c r="T140" s="65"/>
      <c r="U140" s="65"/>
      <c r="V140" s="65"/>
      <c r="W140" s="65"/>
      <c r="X140" s="65"/>
    </row>
    <row r="141" ht="14.25" customHeight="1">
      <c r="A141" s="65"/>
      <c r="B141" s="66"/>
      <c r="C141" s="66"/>
      <c r="D141" s="65"/>
      <c r="E141" s="65"/>
      <c r="F141" s="65"/>
      <c r="G141" s="65"/>
      <c r="H141" s="65"/>
      <c r="I141" s="65"/>
      <c r="J141" s="65"/>
      <c r="K141" s="66"/>
      <c r="N141" s="65"/>
      <c r="O141" s="65"/>
      <c r="P141" s="65"/>
      <c r="Q141" s="65"/>
      <c r="R141" s="74"/>
      <c r="S141" s="74"/>
      <c r="T141" s="65"/>
      <c r="U141" s="65"/>
      <c r="V141" s="65"/>
      <c r="W141" s="65"/>
      <c r="X141" s="65"/>
    </row>
    <row r="142" ht="14.25" customHeight="1">
      <c r="A142" s="65"/>
      <c r="B142" s="66"/>
      <c r="C142" s="66"/>
      <c r="D142" s="65"/>
      <c r="E142" s="65"/>
      <c r="F142" s="65"/>
      <c r="G142" s="65"/>
      <c r="H142" s="65"/>
      <c r="I142" s="65"/>
      <c r="J142" s="65"/>
      <c r="K142" s="66"/>
      <c r="N142" s="65"/>
      <c r="O142" s="65"/>
      <c r="P142" s="65"/>
      <c r="Q142" s="65"/>
      <c r="R142" s="74"/>
      <c r="S142" s="74"/>
      <c r="T142" s="65"/>
      <c r="U142" s="65"/>
      <c r="V142" s="65"/>
      <c r="W142" s="65"/>
      <c r="X142" s="65"/>
    </row>
    <row r="143" ht="14.25" customHeight="1">
      <c r="A143" s="65"/>
      <c r="B143" s="66"/>
      <c r="C143" s="66"/>
      <c r="D143" s="65"/>
      <c r="E143" s="65"/>
      <c r="F143" s="65"/>
      <c r="G143" s="65"/>
      <c r="H143" s="65"/>
      <c r="I143" s="65"/>
      <c r="J143" s="65"/>
      <c r="K143" s="66"/>
      <c r="N143" s="65"/>
      <c r="O143" s="65"/>
      <c r="P143" s="65"/>
      <c r="Q143" s="65"/>
      <c r="R143" s="74"/>
      <c r="S143" s="74"/>
      <c r="T143" s="65"/>
      <c r="U143" s="65"/>
      <c r="V143" s="65"/>
      <c r="W143" s="65"/>
      <c r="X143" s="65"/>
    </row>
    <row r="144" ht="14.25" customHeight="1">
      <c r="A144" s="65"/>
      <c r="B144" s="66"/>
      <c r="C144" s="66"/>
      <c r="D144" s="65"/>
      <c r="E144" s="65"/>
      <c r="F144" s="65"/>
      <c r="G144" s="65"/>
      <c r="H144" s="65"/>
      <c r="I144" s="65"/>
      <c r="J144" s="65"/>
      <c r="K144" s="66"/>
      <c r="N144" s="65"/>
      <c r="O144" s="65"/>
      <c r="P144" s="65"/>
      <c r="Q144" s="65"/>
      <c r="R144" s="74"/>
      <c r="S144" s="74"/>
      <c r="T144" s="65"/>
      <c r="U144" s="65"/>
      <c r="V144" s="65"/>
      <c r="W144" s="65"/>
      <c r="X144" s="65"/>
    </row>
    <row r="145" ht="14.25" customHeight="1">
      <c r="A145" s="65"/>
      <c r="B145" s="66"/>
      <c r="C145" s="66"/>
      <c r="D145" s="65"/>
      <c r="E145" s="65"/>
      <c r="F145" s="65"/>
      <c r="G145" s="65"/>
      <c r="H145" s="65"/>
      <c r="I145" s="65"/>
      <c r="J145" s="65"/>
      <c r="K145" s="66"/>
      <c r="N145" s="65"/>
      <c r="O145" s="65"/>
      <c r="P145" s="65"/>
      <c r="Q145" s="65"/>
      <c r="R145" s="74"/>
      <c r="S145" s="74"/>
      <c r="T145" s="65"/>
      <c r="U145" s="65"/>
      <c r="V145" s="65"/>
      <c r="W145" s="65"/>
      <c r="X145" s="65"/>
    </row>
    <row r="146" ht="14.25" customHeight="1">
      <c r="A146" s="65"/>
      <c r="B146" s="66"/>
      <c r="C146" s="66"/>
      <c r="D146" s="65"/>
      <c r="E146" s="65"/>
      <c r="F146" s="65"/>
      <c r="G146" s="65"/>
      <c r="H146" s="65"/>
      <c r="I146" s="65"/>
      <c r="J146" s="65"/>
      <c r="K146" s="66"/>
      <c r="N146" s="65"/>
      <c r="O146" s="65"/>
      <c r="P146" s="65"/>
      <c r="Q146" s="65"/>
      <c r="R146" s="74"/>
      <c r="S146" s="74"/>
      <c r="T146" s="65"/>
      <c r="U146" s="65"/>
      <c r="V146" s="65"/>
      <c r="W146" s="65"/>
      <c r="X146" s="65"/>
    </row>
    <row r="147" ht="14.25" customHeight="1">
      <c r="A147" s="65"/>
      <c r="B147" s="66"/>
      <c r="C147" s="66"/>
      <c r="D147" s="65"/>
      <c r="E147" s="65"/>
      <c r="F147" s="65"/>
      <c r="G147" s="65"/>
      <c r="H147" s="65"/>
      <c r="I147" s="65"/>
      <c r="J147" s="65"/>
      <c r="K147" s="66"/>
      <c r="N147" s="65"/>
      <c r="O147" s="65"/>
      <c r="P147" s="65"/>
      <c r="Q147" s="65"/>
      <c r="R147" s="74"/>
      <c r="S147" s="74"/>
      <c r="T147" s="65"/>
      <c r="U147" s="65"/>
      <c r="V147" s="65"/>
      <c r="W147" s="65"/>
      <c r="X147" s="65"/>
    </row>
    <row r="148" ht="14.25" customHeight="1">
      <c r="A148" s="65"/>
      <c r="B148" s="66"/>
      <c r="C148" s="66"/>
      <c r="D148" s="65"/>
      <c r="E148" s="65"/>
      <c r="F148" s="65"/>
      <c r="G148" s="65"/>
      <c r="H148" s="65"/>
      <c r="I148" s="65"/>
      <c r="J148" s="65"/>
      <c r="K148" s="66"/>
      <c r="N148" s="65"/>
      <c r="O148" s="65"/>
      <c r="P148" s="65"/>
      <c r="Q148" s="65"/>
      <c r="R148" s="74"/>
      <c r="S148" s="74"/>
      <c r="T148" s="65"/>
      <c r="U148" s="65"/>
      <c r="V148" s="65"/>
      <c r="W148" s="65"/>
      <c r="X148" s="65"/>
    </row>
    <row r="149" ht="14.25" customHeight="1">
      <c r="A149" s="65"/>
      <c r="B149" s="66"/>
      <c r="C149" s="66"/>
      <c r="D149" s="65"/>
      <c r="E149" s="65"/>
      <c r="F149" s="65"/>
      <c r="G149" s="65"/>
      <c r="H149" s="65"/>
      <c r="I149" s="65"/>
      <c r="J149" s="65"/>
      <c r="K149" s="66"/>
      <c r="N149" s="65"/>
      <c r="O149" s="65"/>
      <c r="P149" s="65"/>
      <c r="Q149" s="65"/>
      <c r="R149" s="74"/>
      <c r="S149" s="74"/>
      <c r="T149" s="65"/>
      <c r="U149" s="65"/>
      <c r="V149" s="65"/>
      <c r="W149" s="65"/>
      <c r="X149" s="65"/>
    </row>
    <row r="150" ht="14.25" customHeight="1">
      <c r="A150" s="65"/>
      <c r="B150" s="66"/>
      <c r="C150" s="66"/>
      <c r="D150" s="65"/>
      <c r="E150" s="65"/>
      <c r="F150" s="65"/>
      <c r="G150" s="65"/>
      <c r="H150" s="65"/>
      <c r="I150" s="65"/>
      <c r="J150" s="65"/>
      <c r="K150" s="66"/>
      <c r="N150" s="65"/>
      <c r="O150" s="65"/>
      <c r="P150" s="65"/>
      <c r="Q150" s="65"/>
      <c r="R150" s="74"/>
      <c r="S150" s="74"/>
      <c r="T150" s="65"/>
      <c r="U150" s="65"/>
      <c r="V150" s="65"/>
      <c r="W150" s="65"/>
      <c r="X150" s="65"/>
    </row>
    <row r="151" ht="14.25" customHeight="1">
      <c r="A151" s="65"/>
      <c r="B151" s="66"/>
      <c r="C151" s="66"/>
      <c r="D151" s="65"/>
      <c r="E151" s="65"/>
      <c r="F151" s="65"/>
      <c r="G151" s="65"/>
      <c r="H151" s="65"/>
      <c r="I151" s="65"/>
      <c r="J151" s="65"/>
      <c r="K151" s="66"/>
      <c r="N151" s="65"/>
      <c r="O151" s="65"/>
      <c r="P151" s="65"/>
      <c r="Q151" s="65"/>
      <c r="R151" s="74"/>
      <c r="S151" s="74"/>
      <c r="T151" s="65"/>
      <c r="U151" s="65"/>
      <c r="V151" s="65"/>
      <c r="W151" s="65"/>
      <c r="X151" s="65"/>
    </row>
    <row r="152" ht="14.25" customHeight="1">
      <c r="A152" s="65"/>
      <c r="B152" s="66"/>
      <c r="C152" s="66"/>
      <c r="D152" s="65"/>
      <c r="E152" s="65"/>
      <c r="F152" s="65"/>
      <c r="G152" s="65"/>
      <c r="H152" s="65"/>
      <c r="I152" s="65"/>
      <c r="J152" s="65"/>
      <c r="K152" s="66"/>
      <c r="N152" s="65"/>
      <c r="O152" s="65"/>
      <c r="P152" s="65"/>
      <c r="Q152" s="65"/>
      <c r="R152" s="74"/>
      <c r="S152" s="74"/>
      <c r="T152" s="65"/>
      <c r="U152" s="65"/>
      <c r="V152" s="65"/>
      <c r="W152" s="65"/>
      <c r="X152" s="65"/>
    </row>
    <row r="153" ht="14.25" customHeight="1">
      <c r="A153" s="65"/>
      <c r="B153" s="66"/>
      <c r="C153" s="66"/>
      <c r="D153" s="65"/>
      <c r="E153" s="65"/>
      <c r="F153" s="65"/>
      <c r="G153" s="65"/>
      <c r="H153" s="65"/>
      <c r="I153" s="65"/>
      <c r="J153" s="65"/>
      <c r="K153" s="66"/>
      <c r="N153" s="65"/>
      <c r="O153" s="65"/>
      <c r="P153" s="65"/>
      <c r="Q153" s="65"/>
      <c r="R153" s="74"/>
      <c r="S153" s="74"/>
      <c r="T153" s="65"/>
      <c r="U153" s="65"/>
      <c r="V153" s="65"/>
      <c r="W153" s="65"/>
      <c r="X153" s="65"/>
    </row>
    <row r="154" ht="14.25" customHeight="1">
      <c r="A154" s="65"/>
      <c r="B154" s="66"/>
      <c r="C154" s="66"/>
      <c r="D154" s="65"/>
      <c r="E154" s="65"/>
      <c r="F154" s="65"/>
      <c r="G154" s="65"/>
      <c r="H154" s="65"/>
      <c r="I154" s="65"/>
      <c r="J154" s="65"/>
      <c r="K154" s="66"/>
      <c r="N154" s="65"/>
      <c r="O154" s="65"/>
      <c r="P154" s="65"/>
      <c r="Q154" s="65"/>
      <c r="R154" s="74"/>
      <c r="S154" s="74"/>
      <c r="T154" s="65"/>
      <c r="U154" s="65"/>
      <c r="V154" s="65"/>
      <c r="W154" s="65"/>
      <c r="X154" s="65"/>
    </row>
    <row r="155" ht="14.25" customHeight="1">
      <c r="A155" s="65"/>
      <c r="B155" s="66"/>
      <c r="C155" s="66"/>
      <c r="D155" s="65"/>
      <c r="E155" s="65"/>
      <c r="F155" s="65"/>
      <c r="G155" s="65"/>
      <c r="H155" s="65"/>
      <c r="I155" s="65"/>
      <c r="J155" s="65"/>
      <c r="K155" s="66"/>
      <c r="N155" s="65"/>
      <c r="O155" s="65"/>
      <c r="P155" s="65"/>
      <c r="Q155" s="65"/>
      <c r="R155" s="74"/>
      <c r="S155" s="74"/>
      <c r="T155" s="65"/>
      <c r="U155" s="65"/>
      <c r="V155" s="65"/>
      <c r="W155" s="65"/>
      <c r="X155" s="65"/>
    </row>
    <row r="156" ht="14.25" customHeight="1">
      <c r="A156" s="65"/>
      <c r="B156" s="66"/>
      <c r="C156" s="66"/>
      <c r="D156" s="65"/>
      <c r="E156" s="65"/>
      <c r="F156" s="65"/>
      <c r="G156" s="65"/>
      <c r="H156" s="65"/>
      <c r="I156" s="65"/>
      <c r="J156" s="65"/>
      <c r="K156" s="66"/>
      <c r="N156" s="65"/>
      <c r="O156" s="65"/>
      <c r="P156" s="65"/>
      <c r="Q156" s="65"/>
      <c r="R156" s="74"/>
      <c r="S156" s="74"/>
      <c r="T156" s="65"/>
      <c r="U156" s="65"/>
      <c r="V156" s="65"/>
      <c r="W156" s="65"/>
      <c r="X156" s="65"/>
    </row>
    <row r="157" ht="14.25" customHeight="1">
      <c r="A157" s="65"/>
      <c r="B157" s="66"/>
      <c r="C157" s="66"/>
      <c r="D157" s="65"/>
      <c r="E157" s="65"/>
      <c r="F157" s="65"/>
      <c r="G157" s="65"/>
      <c r="H157" s="65"/>
      <c r="I157" s="65"/>
      <c r="J157" s="65"/>
      <c r="K157" s="66"/>
      <c r="N157" s="65"/>
      <c r="O157" s="65"/>
      <c r="P157" s="65"/>
      <c r="Q157" s="65"/>
      <c r="R157" s="74"/>
      <c r="S157" s="74"/>
      <c r="T157" s="65"/>
      <c r="U157" s="65"/>
      <c r="V157" s="65"/>
      <c r="W157" s="65"/>
      <c r="X157" s="65"/>
    </row>
    <row r="158" ht="14.25" customHeight="1">
      <c r="A158" s="65"/>
      <c r="B158" s="66"/>
      <c r="C158" s="66"/>
      <c r="D158" s="65"/>
      <c r="E158" s="65"/>
      <c r="F158" s="65"/>
      <c r="G158" s="65"/>
      <c r="H158" s="65"/>
      <c r="I158" s="65"/>
      <c r="J158" s="65"/>
      <c r="K158" s="66"/>
      <c r="N158" s="65"/>
      <c r="O158" s="65"/>
      <c r="P158" s="65"/>
      <c r="Q158" s="65"/>
      <c r="R158" s="74"/>
      <c r="S158" s="74"/>
      <c r="T158" s="65"/>
      <c r="U158" s="65"/>
      <c r="V158" s="65"/>
      <c r="W158" s="65"/>
      <c r="X158" s="65"/>
    </row>
    <row r="159" ht="14.25" customHeight="1">
      <c r="A159" s="65"/>
      <c r="B159" s="66"/>
      <c r="C159" s="66"/>
      <c r="D159" s="65"/>
      <c r="E159" s="65"/>
      <c r="F159" s="65"/>
      <c r="G159" s="65"/>
      <c r="H159" s="65"/>
      <c r="I159" s="65"/>
      <c r="J159" s="65"/>
      <c r="K159" s="66"/>
      <c r="N159" s="65"/>
      <c r="O159" s="65"/>
      <c r="P159" s="65"/>
      <c r="Q159" s="65"/>
      <c r="R159" s="74"/>
      <c r="S159" s="74"/>
      <c r="T159" s="65"/>
      <c r="U159" s="65"/>
      <c r="V159" s="65"/>
      <c r="W159" s="65"/>
      <c r="X159" s="65"/>
    </row>
    <row r="160" ht="14.25" customHeight="1">
      <c r="A160" s="65"/>
      <c r="B160" s="66"/>
      <c r="C160" s="66"/>
      <c r="D160" s="65"/>
      <c r="E160" s="65"/>
      <c r="F160" s="65"/>
      <c r="G160" s="65"/>
      <c r="H160" s="65"/>
      <c r="I160" s="65"/>
      <c r="J160" s="65"/>
      <c r="K160" s="66"/>
      <c r="N160" s="65"/>
      <c r="O160" s="65"/>
      <c r="P160" s="65"/>
      <c r="Q160" s="65"/>
      <c r="R160" s="74"/>
      <c r="S160" s="74"/>
      <c r="T160" s="65"/>
      <c r="U160" s="65"/>
      <c r="V160" s="65"/>
      <c r="W160" s="65"/>
      <c r="X160" s="65"/>
    </row>
    <row r="161" ht="14.25" customHeight="1">
      <c r="A161" s="65"/>
      <c r="B161" s="66"/>
      <c r="C161" s="66"/>
      <c r="D161" s="65"/>
      <c r="E161" s="65"/>
      <c r="F161" s="65"/>
      <c r="G161" s="65"/>
      <c r="H161" s="65"/>
      <c r="I161" s="65"/>
      <c r="J161" s="65"/>
      <c r="K161" s="66"/>
      <c r="N161" s="65"/>
      <c r="O161" s="65"/>
      <c r="P161" s="65"/>
      <c r="Q161" s="65"/>
      <c r="R161" s="74"/>
      <c r="S161" s="74"/>
      <c r="T161" s="65"/>
      <c r="U161" s="65"/>
      <c r="V161" s="65"/>
      <c r="W161" s="65"/>
      <c r="X161" s="65"/>
    </row>
    <row r="162" ht="14.25" customHeight="1">
      <c r="A162" s="65"/>
      <c r="B162" s="66"/>
      <c r="C162" s="66"/>
      <c r="D162" s="65"/>
      <c r="E162" s="65"/>
      <c r="F162" s="65"/>
      <c r="G162" s="65"/>
      <c r="H162" s="65"/>
      <c r="I162" s="65"/>
      <c r="J162" s="65"/>
      <c r="K162" s="66"/>
      <c r="N162" s="65"/>
      <c r="O162" s="65"/>
      <c r="P162" s="65"/>
      <c r="Q162" s="65"/>
      <c r="R162" s="74"/>
      <c r="S162" s="74"/>
      <c r="T162" s="65"/>
      <c r="U162" s="65"/>
      <c r="V162" s="65"/>
      <c r="W162" s="65"/>
      <c r="X162" s="65"/>
    </row>
    <row r="163" ht="14.25" customHeight="1">
      <c r="A163" s="65"/>
      <c r="B163" s="66"/>
      <c r="C163" s="66"/>
      <c r="D163" s="65"/>
      <c r="E163" s="65"/>
      <c r="F163" s="65"/>
      <c r="G163" s="65"/>
      <c r="H163" s="65"/>
      <c r="I163" s="65"/>
      <c r="J163" s="65"/>
      <c r="K163" s="66"/>
      <c r="N163" s="65"/>
      <c r="O163" s="65"/>
      <c r="P163" s="65"/>
      <c r="Q163" s="65"/>
      <c r="R163" s="74"/>
      <c r="S163" s="74"/>
      <c r="T163" s="65"/>
      <c r="U163" s="65"/>
      <c r="V163" s="65"/>
      <c r="W163" s="65"/>
      <c r="X163" s="65"/>
    </row>
    <row r="164" ht="14.25" customHeight="1">
      <c r="A164" s="65"/>
      <c r="B164" s="66"/>
      <c r="C164" s="66"/>
      <c r="D164" s="65"/>
      <c r="E164" s="65"/>
      <c r="F164" s="65"/>
      <c r="G164" s="65"/>
      <c r="H164" s="65"/>
      <c r="I164" s="65"/>
      <c r="J164" s="65"/>
      <c r="K164" s="66"/>
      <c r="N164" s="65"/>
      <c r="O164" s="65"/>
      <c r="P164" s="65"/>
      <c r="Q164" s="65"/>
      <c r="R164" s="74"/>
      <c r="S164" s="74"/>
      <c r="T164" s="65"/>
      <c r="U164" s="65"/>
      <c r="V164" s="65"/>
      <c r="W164" s="65"/>
      <c r="X164" s="65"/>
    </row>
    <row r="165" ht="14.25" customHeight="1">
      <c r="A165" s="65"/>
      <c r="B165" s="66"/>
      <c r="C165" s="66"/>
      <c r="D165" s="65"/>
      <c r="E165" s="65"/>
      <c r="F165" s="65"/>
      <c r="G165" s="65"/>
      <c r="H165" s="65"/>
      <c r="I165" s="65"/>
      <c r="J165" s="65"/>
      <c r="K165" s="66"/>
      <c r="N165" s="65"/>
      <c r="O165" s="65"/>
      <c r="P165" s="65"/>
      <c r="Q165" s="65"/>
      <c r="R165" s="74"/>
      <c r="S165" s="74"/>
      <c r="T165" s="65"/>
      <c r="U165" s="65"/>
      <c r="V165" s="65"/>
      <c r="W165" s="65"/>
      <c r="X165" s="65"/>
    </row>
    <row r="166" ht="14.25" customHeight="1">
      <c r="A166" s="65"/>
      <c r="B166" s="66"/>
      <c r="C166" s="66"/>
      <c r="D166" s="65"/>
      <c r="E166" s="65"/>
      <c r="F166" s="65"/>
      <c r="G166" s="65"/>
      <c r="H166" s="65"/>
      <c r="I166" s="65"/>
      <c r="J166" s="65"/>
      <c r="K166" s="66"/>
      <c r="N166" s="65"/>
      <c r="O166" s="65"/>
      <c r="P166" s="65"/>
      <c r="Q166" s="65"/>
      <c r="R166" s="74"/>
      <c r="S166" s="74"/>
      <c r="T166" s="65"/>
      <c r="U166" s="65"/>
      <c r="V166" s="65"/>
      <c r="W166" s="65"/>
      <c r="X166" s="65"/>
    </row>
    <row r="167" ht="14.25" customHeight="1">
      <c r="A167" s="65"/>
      <c r="B167" s="66"/>
      <c r="C167" s="66"/>
      <c r="D167" s="65"/>
      <c r="E167" s="65"/>
      <c r="F167" s="65"/>
      <c r="G167" s="65"/>
      <c r="H167" s="65"/>
      <c r="I167" s="65"/>
      <c r="J167" s="65"/>
      <c r="K167" s="66"/>
      <c r="N167" s="65"/>
      <c r="O167" s="65"/>
      <c r="P167" s="65"/>
      <c r="Q167" s="65"/>
      <c r="R167" s="74"/>
      <c r="S167" s="74"/>
      <c r="T167" s="65"/>
      <c r="U167" s="65"/>
      <c r="V167" s="65"/>
      <c r="W167" s="65"/>
      <c r="X167" s="65"/>
    </row>
    <row r="168" ht="14.25" customHeight="1">
      <c r="A168" s="65"/>
      <c r="B168" s="66"/>
      <c r="C168" s="66"/>
      <c r="D168" s="65"/>
      <c r="E168" s="65"/>
      <c r="F168" s="65"/>
      <c r="G168" s="65"/>
      <c r="H168" s="65"/>
      <c r="I168" s="65"/>
      <c r="J168" s="65"/>
      <c r="K168" s="66"/>
      <c r="N168" s="65"/>
      <c r="O168" s="65"/>
      <c r="P168" s="65"/>
      <c r="Q168" s="65"/>
      <c r="R168" s="74"/>
      <c r="S168" s="74"/>
      <c r="T168" s="65"/>
      <c r="U168" s="65"/>
      <c r="V168" s="65"/>
      <c r="W168" s="65"/>
      <c r="X168" s="65"/>
    </row>
    <row r="169" ht="14.25" customHeight="1">
      <c r="A169" s="65"/>
      <c r="B169" s="66"/>
      <c r="C169" s="66"/>
      <c r="D169" s="65"/>
      <c r="E169" s="65"/>
      <c r="F169" s="65"/>
      <c r="G169" s="65"/>
      <c r="H169" s="65"/>
      <c r="I169" s="65"/>
      <c r="J169" s="65"/>
      <c r="K169" s="66"/>
      <c r="N169" s="65"/>
      <c r="O169" s="65"/>
      <c r="P169" s="65"/>
      <c r="Q169" s="65"/>
      <c r="R169" s="74"/>
      <c r="S169" s="74"/>
      <c r="T169" s="65"/>
      <c r="U169" s="65"/>
      <c r="V169" s="65"/>
      <c r="W169" s="65"/>
      <c r="X169" s="65"/>
    </row>
    <row r="170" ht="14.25" customHeight="1">
      <c r="A170" s="65"/>
      <c r="B170" s="66"/>
      <c r="C170" s="66"/>
      <c r="D170" s="65"/>
      <c r="E170" s="65"/>
      <c r="F170" s="65"/>
      <c r="G170" s="65"/>
      <c r="H170" s="65"/>
      <c r="I170" s="65"/>
      <c r="J170" s="65"/>
      <c r="K170" s="66"/>
      <c r="N170" s="65"/>
      <c r="O170" s="65"/>
      <c r="P170" s="65"/>
      <c r="Q170" s="65"/>
      <c r="R170" s="74"/>
      <c r="S170" s="74"/>
      <c r="T170" s="65"/>
      <c r="U170" s="65"/>
      <c r="V170" s="65"/>
      <c r="W170" s="65"/>
      <c r="X170" s="65"/>
    </row>
    <row r="171" ht="14.25" customHeight="1">
      <c r="A171" s="65"/>
      <c r="B171" s="66"/>
      <c r="C171" s="66"/>
      <c r="D171" s="65"/>
      <c r="E171" s="65"/>
      <c r="F171" s="65"/>
      <c r="G171" s="65"/>
      <c r="H171" s="65"/>
      <c r="I171" s="65"/>
      <c r="J171" s="65"/>
      <c r="K171" s="66"/>
      <c r="N171" s="65"/>
      <c r="O171" s="65"/>
      <c r="P171" s="65"/>
      <c r="Q171" s="65"/>
      <c r="R171" s="74"/>
      <c r="S171" s="74"/>
      <c r="T171" s="65"/>
      <c r="U171" s="65"/>
      <c r="V171" s="65"/>
      <c r="W171" s="65"/>
      <c r="X171" s="65"/>
    </row>
    <row r="172" ht="14.25" customHeight="1">
      <c r="A172" s="65"/>
      <c r="B172" s="66"/>
      <c r="C172" s="66"/>
      <c r="D172" s="65"/>
      <c r="E172" s="65"/>
      <c r="F172" s="65"/>
      <c r="G172" s="65"/>
      <c r="H172" s="65"/>
      <c r="I172" s="65"/>
      <c r="J172" s="65"/>
      <c r="K172" s="66"/>
      <c r="N172" s="65"/>
      <c r="O172" s="65"/>
      <c r="P172" s="65"/>
      <c r="Q172" s="65"/>
      <c r="R172" s="74"/>
      <c r="S172" s="74"/>
      <c r="T172" s="65"/>
      <c r="U172" s="65"/>
      <c r="V172" s="65"/>
      <c r="W172" s="65"/>
      <c r="X172" s="65"/>
    </row>
    <row r="173" ht="14.25" customHeight="1">
      <c r="A173" s="65"/>
      <c r="B173" s="66"/>
      <c r="C173" s="66"/>
      <c r="D173" s="65"/>
      <c r="E173" s="65"/>
      <c r="F173" s="65"/>
      <c r="G173" s="65"/>
      <c r="H173" s="65"/>
      <c r="I173" s="65"/>
      <c r="J173" s="65"/>
      <c r="K173" s="66"/>
      <c r="N173" s="65"/>
      <c r="O173" s="65"/>
      <c r="P173" s="65"/>
      <c r="Q173" s="65"/>
      <c r="R173" s="74"/>
      <c r="S173" s="74"/>
      <c r="T173" s="65"/>
      <c r="U173" s="65"/>
      <c r="V173" s="65"/>
      <c r="W173" s="65"/>
      <c r="X173" s="65"/>
    </row>
    <row r="174" ht="14.25" customHeight="1">
      <c r="A174" s="65"/>
      <c r="B174" s="66"/>
      <c r="C174" s="66"/>
      <c r="D174" s="65"/>
      <c r="E174" s="65"/>
      <c r="F174" s="65"/>
      <c r="G174" s="65"/>
      <c r="H174" s="65"/>
      <c r="I174" s="65"/>
      <c r="J174" s="65"/>
      <c r="K174" s="66"/>
      <c r="N174" s="65"/>
      <c r="O174" s="65"/>
      <c r="P174" s="65"/>
      <c r="Q174" s="65"/>
      <c r="R174" s="74"/>
      <c r="S174" s="74"/>
      <c r="T174" s="65"/>
      <c r="U174" s="65"/>
      <c r="V174" s="65"/>
      <c r="W174" s="65"/>
      <c r="X174" s="65"/>
    </row>
    <row r="175" ht="14.25" customHeight="1">
      <c r="A175" s="65"/>
      <c r="B175" s="66"/>
      <c r="C175" s="66"/>
      <c r="D175" s="65"/>
      <c r="E175" s="65"/>
      <c r="F175" s="65"/>
      <c r="G175" s="65"/>
      <c r="H175" s="65"/>
      <c r="I175" s="65"/>
      <c r="J175" s="65"/>
      <c r="K175" s="66"/>
      <c r="N175" s="65"/>
      <c r="O175" s="65"/>
      <c r="P175" s="65"/>
      <c r="Q175" s="65"/>
      <c r="R175" s="74"/>
      <c r="S175" s="74"/>
      <c r="T175" s="65"/>
      <c r="U175" s="65"/>
      <c r="V175" s="65"/>
      <c r="W175" s="65"/>
      <c r="X175" s="65"/>
    </row>
    <row r="176" ht="14.25" customHeight="1">
      <c r="A176" s="65"/>
      <c r="B176" s="66"/>
      <c r="C176" s="66"/>
      <c r="D176" s="65"/>
      <c r="E176" s="65"/>
      <c r="F176" s="65"/>
      <c r="G176" s="65"/>
      <c r="H176" s="65"/>
      <c r="I176" s="65"/>
      <c r="J176" s="65"/>
      <c r="K176" s="66"/>
      <c r="N176" s="65"/>
      <c r="O176" s="65"/>
      <c r="P176" s="65"/>
      <c r="Q176" s="65"/>
      <c r="R176" s="74"/>
      <c r="S176" s="74"/>
      <c r="T176" s="65"/>
      <c r="U176" s="65"/>
      <c r="V176" s="65"/>
      <c r="W176" s="65"/>
      <c r="X176" s="65"/>
    </row>
    <row r="177" ht="14.25" customHeight="1">
      <c r="A177" s="65"/>
      <c r="B177" s="66"/>
      <c r="C177" s="66"/>
      <c r="D177" s="65"/>
      <c r="E177" s="65"/>
      <c r="F177" s="65"/>
      <c r="G177" s="65"/>
      <c r="H177" s="65"/>
      <c r="I177" s="65"/>
      <c r="J177" s="65"/>
      <c r="K177" s="66"/>
      <c r="N177" s="65"/>
      <c r="O177" s="65"/>
      <c r="P177" s="65"/>
      <c r="Q177" s="65"/>
      <c r="R177" s="74"/>
      <c r="S177" s="74"/>
      <c r="T177" s="65"/>
      <c r="U177" s="65"/>
      <c r="V177" s="65"/>
      <c r="W177" s="65"/>
      <c r="X177" s="65"/>
    </row>
    <row r="178" ht="14.25" customHeight="1">
      <c r="A178" s="65"/>
      <c r="B178" s="66"/>
      <c r="C178" s="66"/>
      <c r="D178" s="65"/>
      <c r="E178" s="65"/>
      <c r="F178" s="65"/>
      <c r="G178" s="65"/>
      <c r="H178" s="65"/>
      <c r="I178" s="65"/>
      <c r="J178" s="65"/>
      <c r="K178" s="66"/>
      <c r="N178" s="65"/>
      <c r="O178" s="65"/>
      <c r="P178" s="65"/>
      <c r="Q178" s="65"/>
      <c r="R178" s="74"/>
      <c r="S178" s="74"/>
      <c r="T178" s="65"/>
      <c r="U178" s="65"/>
      <c r="V178" s="65"/>
      <c r="W178" s="65"/>
      <c r="X178" s="65"/>
    </row>
    <row r="179" ht="14.25" customHeight="1">
      <c r="A179" s="65"/>
      <c r="B179" s="66"/>
      <c r="C179" s="66"/>
      <c r="D179" s="65"/>
      <c r="E179" s="65"/>
      <c r="F179" s="65"/>
      <c r="G179" s="65"/>
      <c r="H179" s="65"/>
      <c r="I179" s="65"/>
      <c r="J179" s="65"/>
      <c r="K179" s="66"/>
      <c r="N179" s="65"/>
      <c r="O179" s="65"/>
      <c r="P179" s="65"/>
      <c r="Q179" s="65"/>
      <c r="R179" s="74"/>
      <c r="S179" s="74"/>
      <c r="T179" s="65"/>
      <c r="U179" s="65"/>
      <c r="V179" s="65"/>
      <c r="W179" s="65"/>
      <c r="X179" s="65"/>
    </row>
    <row r="180" ht="14.25" customHeight="1">
      <c r="A180" s="65"/>
      <c r="B180" s="66"/>
      <c r="C180" s="66"/>
      <c r="D180" s="65"/>
      <c r="E180" s="65"/>
      <c r="F180" s="65"/>
      <c r="G180" s="65"/>
      <c r="H180" s="65"/>
      <c r="I180" s="65"/>
      <c r="J180" s="65"/>
      <c r="K180" s="66"/>
      <c r="N180" s="65"/>
      <c r="O180" s="65"/>
      <c r="P180" s="65"/>
      <c r="Q180" s="65"/>
      <c r="R180" s="74"/>
      <c r="S180" s="74"/>
      <c r="T180" s="65"/>
      <c r="U180" s="65"/>
      <c r="V180" s="65"/>
      <c r="W180" s="65"/>
      <c r="X180" s="65"/>
    </row>
    <row r="181" ht="14.25" customHeight="1">
      <c r="A181" s="65"/>
      <c r="B181" s="66"/>
      <c r="C181" s="66"/>
      <c r="D181" s="65"/>
      <c r="E181" s="65"/>
      <c r="F181" s="65"/>
      <c r="G181" s="65"/>
      <c r="H181" s="65"/>
      <c r="I181" s="65"/>
      <c r="J181" s="65"/>
      <c r="K181" s="66"/>
      <c r="N181" s="65"/>
      <c r="O181" s="65"/>
      <c r="P181" s="65"/>
      <c r="Q181" s="65"/>
      <c r="R181" s="74"/>
      <c r="S181" s="74"/>
      <c r="T181" s="65"/>
      <c r="U181" s="65"/>
      <c r="V181" s="65"/>
      <c r="W181" s="65"/>
      <c r="X181" s="65"/>
    </row>
    <row r="182" ht="14.25" customHeight="1">
      <c r="A182" s="65"/>
      <c r="B182" s="66"/>
      <c r="C182" s="66"/>
      <c r="D182" s="65"/>
      <c r="E182" s="65"/>
      <c r="F182" s="65"/>
      <c r="G182" s="65"/>
      <c r="H182" s="65"/>
      <c r="I182" s="65"/>
      <c r="J182" s="65"/>
      <c r="K182" s="66"/>
      <c r="N182" s="65"/>
      <c r="O182" s="65"/>
      <c r="P182" s="65"/>
      <c r="Q182" s="65"/>
      <c r="R182" s="74"/>
      <c r="S182" s="74"/>
      <c r="T182" s="65"/>
      <c r="U182" s="65"/>
      <c r="V182" s="65"/>
      <c r="W182" s="65"/>
      <c r="X182" s="65"/>
    </row>
    <row r="183" ht="14.25" customHeight="1">
      <c r="A183" s="65"/>
      <c r="B183" s="66"/>
      <c r="C183" s="66"/>
      <c r="D183" s="65"/>
      <c r="E183" s="65"/>
      <c r="F183" s="65"/>
      <c r="G183" s="65"/>
      <c r="H183" s="65"/>
      <c r="I183" s="65"/>
      <c r="J183" s="65"/>
      <c r="K183" s="66"/>
      <c r="N183" s="65"/>
      <c r="O183" s="65"/>
      <c r="P183" s="65"/>
      <c r="Q183" s="65"/>
      <c r="R183" s="74"/>
      <c r="S183" s="74"/>
      <c r="T183" s="65"/>
      <c r="U183" s="65"/>
      <c r="V183" s="65"/>
      <c r="W183" s="65"/>
      <c r="X183" s="65"/>
    </row>
    <row r="184" ht="14.25" customHeight="1">
      <c r="A184" s="65"/>
      <c r="B184" s="66"/>
      <c r="C184" s="66"/>
      <c r="D184" s="65"/>
      <c r="E184" s="65"/>
      <c r="F184" s="65"/>
      <c r="G184" s="65"/>
      <c r="H184" s="65"/>
      <c r="I184" s="65"/>
      <c r="J184" s="65"/>
      <c r="K184" s="66"/>
      <c r="N184" s="65"/>
      <c r="O184" s="65"/>
      <c r="P184" s="65"/>
      <c r="Q184" s="65"/>
      <c r="R184" s="74"/>
      <c r="S184" s="74"/>
      <c r="T184" s="65"/>
      <c r="U184" s="65"/>
      <c r="V184" s="65"/>
      <c r="W184" s="65"/>
      <c r="X184" s="65"/>
    </row>
    <row r="185" ht="14.25" customHeight="1">
      <c r="A185" s="65"/>
      <c r="B185" s="66"/>
      <c r="C185" s="66"/>
      <c r="D185" s="65"/>
      <c r="E185" s="65"/>
      <c r="F185" s="65"/>
      <c r="G185" s="65"/>
      <c r="H185" s="65"/>
      <c r="I185" s="65"/>
      <c r="J185" s="65"/>
      <c r="K185" s="66"/>
      <c r="N185" s="65"/>
      <c r="O185" s="65"/>
      <c r="P185" s="65"/>
      <c r="Q185" s="65"/>
      <c r="R185" s="74"/>
      <c r="S185" s="74"/>
      <c r="T185" s="65"/>
      <c r="U185" s="65"/>
      <c r="V185" s="65"/>
      <c r="W185" s="65"/>
      <c r="X185" s="65"/>
    </row>
    <row r="186" ht="14.25" customHeight="1">
      <c r="A186" s="65"/>
      <c r="B186" s="66"/>
      <c r="C186" s="66"/>
      <c r="D186" s="65"/>
      <c r="E186" s="65"/>
      <c r="F186" s="65"/>
      <c r="G186" s="65"/>
      <c r="H186" s="65"/>
      <c r="I186" s="65"/>
      <c r="J186" s="65"/>
      <c r="K186" s="66"/>
      <c r="N186" s="65"/>
      <c r="O186" s="65"/>
      <c r="P186" s="65"/>
      <c r="Q186" s="65"/>
      <c r="R186" s="74"/>
      <c r="S186" s="74"/>
      <c r="T186" s="65"/>
      <c r="U186" s="65"/>
      <c r="V186" s="65"/>
      <c r="W186" s="65"/>
      <c r="X186" s="65"/>
    </row>
    <row r="187" ht="14.25" customHeight="1">
      <c r="A187" s="65"/>
      <c r="B187" s="66"/>
      <c r="C187" s="66"/>
      <c r="D187" s="65"/>
      <c r="E187" s="65"/>
      <c r="F187" s="65"/>
      <c r="G187" s="65"/>
      <c r="H187" s="65"/>
      <c r="I187" s="65"/>
      <c r="J187" s="65"/>
      <c r="K187" s="66"/>
      <c r="L187" s="65"/>
      <c r="M187" s="65"/>
      <c r="N187" s="65"/>
      <c r="O187" s="65"/>
      <c r="P187" s="65"/>
      <c r="Q187" s="65"/>
      <c r="R187" s="74"/>
      <c r="S187" s="74"/>
      <c r="T187" s="65"/>
      <c r="U187" s="65"/>
      <c r="V187" s="65"/>
      <c r="W187" s="65"/>
      <c r="X187" s="65"/>
    </row>
    <row r="188" ht="14.25" customHeight="1">
      <c r="A188" s="65"/>
      <c r="B188" s="66"/>
      <c r="C188" s="66"/>
      <c r="D188" s="65"/>
      <c r="E188" s="65"/>
      <c r="F188" s="65"/>
      <c r="G188" s="65"/>
      <c r="H188" s="65"/>
      <c r="I188" s="65"/>
      <c r="J188" s="65"/>
      <c r="K188" s="66"/>
      <c r="L188" s="65"/>
      <c r="M188" s="65"/>
      <c r="N188" s="65"/>
      <c r="O188" s="65"/>
      <c r="P188" s="65"/>
      <c r="Q188" s="65"/>
      <c r="R188" s="74"/>
      <c r="S188" s="74"/>
      <c r="T188" s="65"/>
      <c r="U188" s="65"/>
      <c r="V188" s="65"/>
      <c r="W188" s="65"/>
      <c r="X188" s="65"/>
    </row>
    <row r="189" ht="14.25" customHeight="1">
      <c r="A189" s="65"/>
      <c r="B189" s="66"/>
      <c r="C189" s="66"/>
      <c r="D189" s="65"/>
      <c r="E189" s="65"/>
      <c r="F189" s="65"/>
      <c r="G189" s="65"/>
      <c r="H189" s="65"/>
      <c r="I189" s="65"/>
      <c r="J189" s="65"/>
      <c r="K189" s="66"/>
      <c r="L189" s="65"/>
      <c r="M189" s="65"/>
      <c r="N189" s="65"/>
      <c r="O189" s="65"/>
      <c r="P189" s="65"/>
      <c r="Q189" s="65"/>
      <c r="R189" s="74"/>
      <c r="S189" s="74"/>
      <c r="T189" s="65"/>
      <c r="U189" s="65"/>
      <c r="V189" s="65"/>
      <c r="W189" s="65"/>
      <c r="X189" s="65"/>
    </row>
    <row r="190" ht="14.25" customHeight="1">
      <c r="A190" s="65"/>
      <c r="B190" s="66"/>
      <c r="C190" s="66"/>
      <c r="D190" s="65"/>
      <c r="E190" s="65"/>
      <c r="F190" s="65"/>
      <c r="G190" s="65"/>
      <c r="H190" s="65"/>
      <c r="I190" s="65"/>
      <c r="J190" s="65"/>
      <c r="K190" s="66"/>
      <c r="L190" s="65"/>
      <c r="M190" s="65"/>
      <c r="N190" s="65"/>
      <c r="O190" s="65"/>
      <c r="P190" s="65"/>
      <c r="Q190" s="65"/>
      <c r="R190" s="74"/>
      <c r="S190" s="74"/>
      <c r="T190" s="65"/>
      <c r="U190" s="65"/>
      <c r="V190" s="65"/>
      <c r="W190" s="65"/>
      <c r="X190" s="65"/>
    </row>
    <row r="191" ht="14.25" customHeight="1">
      <c r="A191" s="65"/>
      <c r="B191" s="66"/>
      <c r="C191" s="66"/>
      <c r="D191" s="65"/>
      <c r="E191" s="65"/>
      <c r="F191" s="65"/>
      <c r="G191" s="65"/>
      <c r="H191" s="65"/>
      <c r="I191" s="65"/>
      <c r="J191" s="65"/>
      <c r="K191" s="66"/>
      <c r="L191" s="65"/>
      <c r="M191" s="65"/>
      <c r="N191" s="65"/>
      <c r="O191" s="65"/>
      <c r="P191" s="65"/>
      <c r="Q191" s="65"/>
      <c r="R191" s="74"/>
      <c r="S191" s="74"/>
      <c r="T191" s="65"/>
      <c r="U191" s="65"/>
      <c r="V191" s="65"/>
      <c r="W191" s="65"/>
      <c r="X191" s="65"/>
    </row>
    <row r="192" ht="14.25" customHeight="1">
      <c r="A192" s="65"/>
      <c r="B192" s="66"/>
      <c r="C192" s="66"/>
      <c r="D192" s="65"/>
      <c r="E192" s="65"/>
      <c r="F192" s="65"/>
      <c r="G192" s="65"/>
      <c r="H192" s="65"/>
      <c r="I192" s="65"/>
      <c r="J192" s="65"/>
      <c r="K192" s="66"/>
      <c r="L192" s="65"/>
      <c r="M192" s="65"/>
      <c r="N192" s="65"/>
      <c r="O192" s="65"/>
      <c r="P192" s="65"/>
      <c r="Q192" s="65"/>
      <c r="R192" s="74"/>
      <c r="S192" s="74"/>
      <c r="T192" s="65"/>
      <c r="U192" s="65"/>
      <c r="V192" s="65"/>
      <c r="W192" s="65"/>
      <c r="X192" s="65"/>
    </row>
    <row r="193" ht="14.25" customHeight="1">
      <c r="A193" s="65"/>
      <c r="B193" s="66"/>
      <c r="C193" s="66"/>
      <c r="D193" s="65"/>
      <c r="E193" s="65"/>
      <c r="F193" s="65"/>
      <c r="G193" s="65"/>
      <c r="H193" s="65"/>
      <c r="I193" s="65"/>
      <c r="J193" s="65"/>
      <c r="K193" s="66"/>
      <c r="L193" s="65"/>
      <c r="M193" s="65"/>
      <c r="N193" s="65"/>
      <c r="O193" s="65"/>
      <c r="P193" s="65"/>
      <c r="Q193" s="65"/>
      <c r="R193" s="74"/>
      <c r="S193" s="74"/>
      <c r="T193" s="65"/>
      <c r="U193" s="65"/>
      <c r="V193" s="65"/>
      <c r="W193" s="65"/>
      <c r="X193" s="65"/>
    </row>
    <row r="194" ht="14.25" customHeight="1">
      <c r="A194" s="65"/>
      <c r="B194" s="66"/>
      <c r="C194" s="66"/>
      <c r="D194" s="65"/>
      <c r="E194" s="65"/>
      <c r="F194" s="65"/>
      <c r="G194" s="65"/>
      <c r="H194" s="65"/>
      <c r="I194" s="65"/>
      <c r="J194" s="65"/>
      <c r="K194" s="66"/>
      <c r="L194" s="65"/>
      <c r="M194" s="65"/>
      <c r="N194" s="65"/>
      <c r="O194" s="65"/>
      <c r="P194" s="65"/>
      <c r="Q194" s="65"/>
      <c r="R194" s="74"/>
      <c r="S194" s="74"/>
      <c r="T194" s="65"/>
      <c r="U194" s="65"/>
      <c r="V194" s="65"/>
      <c r="W194" s="65"/>
      <c r="X194" s="65"/>
    </row>
    <row r="195" ht="14.25" customHeight="1">
      <c r="A195" s="65"/>
      <c r="B195" s="66"/>
      <c r="C195" s="66"/>
      <c r="D195" s="65"/>
      <c r="E195" s="65"/>
      <c r="F195" s="65"/>
      <c r="G195" s="65"/>
      <c r="H195" s="65"/>
      <c r="I195" s="65"/>
      <c r="J195" s="65"/>
      <c r="K195" s="66"/>
      <c r="L195" s="65"/>
      <c r="M195" s="65"/>
      <c r="N195" s="65"/>
      <c r="O195" s="65"/>
      <c r="P195" s="65"/>
      <c r="Q195" s="65"/>
      <c r="R195" s="74"/>
      <c r="S195" s="74"/>
      <c r="T195" s="65"/>
      <c r="U195" s="65"/>
      <c r="V195" s="65"/>
      <c r="W195" s="65"/>
      <c r="X195" s="65"/>
    </row>
    <row r="196" ht="14.25" customHeight="1">
      <c r="A196" s="65"/>
      <c r="B196" s="66"/>
      <c r="C196" s="66"/>
      <c r="D196" s="65"/>
      <c r="E196" s="65"/>
      <c r="F196" s="65"/>
      <c r="G196" s="65"/>
      <c r="H196" s="65"/>
      <c r="I196" s="65"/>
      <c r="J196" s="65"/>
      <c r="K196" s="66"/>
      <c r="L196" s="65"/>
      <c r="M196" s="65"/>
      <c r="N196" s="65"/>
      <c r="O196" s="65"/>
      <c r="P196" s="65"/>
      <c r="Q196" s="65"/>
      <c r="R196" s="74"/>
      <c r="S196" s="74"/>
      <c r="T196" s="65"/>
      <c r="U196" s="65"/>
      <c r="V196" s="65"/>
      <c r="W196" s="65"/>
      <c r="X196" s="65"/>
    </row>
    <row r="197" ht="14.25" customHeight="1">
      <c r="A197" s="65"/>
      <c r="B197" s="66"/>
      <c r="C197" s="66"/>
      <c r="D197" s="65"/>
      <c r="E197" s="65"/>
      <c r="F197" s="65"/>
      <c r="G197" s="65"/>
      <c r="H197" s="65"/>
      <c r="I197" s="65"/>
      <c r="J197" s="65"/>
      <c r="K197" s="66"/>
      <c r="L197" s="65"/>
      <c r="M197" s="65"/>
      <c r="N197" s="65"/>
      <c r="O197" s="65"/>
      <c r="P197" s="65"/>
      <c r="Q197" s="65"/>
      <c r="R197" s="74"/>
      <c r="S197" s="74"/>
      <c r="T197" s="65"/>
      <c r="U197" s="65"/>
      <c r="V197" s="65"/>
      <c r="W197" s="65"/>
      <c r="X197" s="65"/>
    </row>
    <row r="198" ht="14.25" customHeight="1">
      <c r="A198" s="65"/>
      <c r="B198" s="66"/>
      <c r="C198" s="66"/>
      <c r="D198" s="65"/>
      <c r="E198" s="65"/>
      <c r="F198" s="65"/>
      <c r="G198" s="65"/>
      <c r="H198" s="65"/>
      <c r="I198" s="65"/>
      <c r="J198" s="65"/>
      <c r="K198" s="66"/>
      <c r="L198" s="65"/>
      <c r="M198" s="65"/>
      <c r="N198" s="65"/>
      <c r="O198" s="65"/>
      <c r="P198" s="65"/>
      <c r="Q198" s="65"/>
      <c r="R198" s="74"/>
      <c r="S198" s="74"/>
      <c r="T198" s="65"/>
      <c r="U198" s="65"/>
      <c r="V198" s="65"/>
      <c r="W198" s="65"/>
      <c r="X198" s="65"/>
    </row>
    <row r="199" ht="14.25" customHeight="1">
      <c r="A199" s="65"/>
      <c r="B199" s="66"/>
      <c r="C199" s="66"/>
      <c r="D199" s="65"/>
      <c r="E199" s="65"/>
      <c r="F199" s="65"/>
      <c r="G199" s="65"/>
      <c r="H199" s="65"/>
      <c r="I199" s="65"/>
      <c r="J199" s="65"/>
      <c r="K199" s="66"/>
      <c r="L199" s="65"/>
      <c r="M199" s="65"/>
      <c r="N199" s="65"/>
      <c r="O199" s="65"/>
      <c r="P199" s="65"/>
      <c r="Q199" s="65"/>
      <c r="R199" s="74"/>
      <c r="S199" s="74"/>
      <c r="T199" s="65"/>
      <c r="U199" s="65"/>
      <c r="V199" s="65"/>
      <c r="W199" s="65"/>
      <c r="X199" s="65"/>
    </row>
    <row r="200" ht="14.25" customHeight="1">
      <c r="A200" s="65"/>
      <c r="B200" s="66"/>
      <c r="C200" s="66"/>
      <c r="D200" s="65"/>
      <c r="E200" s="65"/>
      <c r="F200" s="65"/>
      <c r="G200" s="65"/>
      <c r="H200" s="65"/>
      <c r="I200" s="65"/>
      <c r="J200" s="65"/>
      <c r="K200" s="66"/>
      <c r="L200" s="65"/>
      <c r="M200" s="65"/>
      <c r="N200" s="65"/>
      <c r="O200" s="65"/>
      <c r="P200" s="65"/>
      <c r="Q200" s="65"/>
      <c r="R200" s="74"/>
      <c r="S200" s="74"/>
      <c r="T200" s="65"/>
      <c r="U200" s="65"/>
      <c r="V200" s="65"/>
      <c r="W200" s="65"/>
      <c r="X200" s="65"/>
    </row>
    <row r="201" ht="14.25" customHeight="1">
      <c r="A201" s="65"/>
      <c r="B201" s="66"/>
      <c r="C201" s="66"/>
      <c r="D201" s="65"/>
      <c r="E201" s="65"/>
      <c r="F201" s="65"/>
      <c r="G201" s="65"/>
      <c r="H201" s="65"/>
      <c r="I201" s="65"/>
      <c r="J201" s="65"/>
      <c r="K201" s="66"/>
      <c r="L201" s="65"/>
      <c r="M201" s="65"/>
      <c r="N201" s="65"/>
      <c r="O201" s="65"/>
      <c r="P201" s="65"/>
      <c r="Q201" s="65"/>
      <c r="R201" s="74"/>
      <c r="S201" s="74"/>
      <c r="T201" s="65"/>
      <c r="U201" s="65"/>
      <c r="V201" s="65"/>
      <c r="W201" s="65"/>
      <c r="X201" s="65"/>
    </row>
    <row r="202" ht="14.25" customHeight="1">
      <c r="A202" s="65"/>
      <c r="B202" s="66"/>
      <c r="C202" s="66"/>
      <c r="D202" s="65"/>
      <c r="E202" s="65"/>
      <c r="F202" s="65"/>
      <c r="G202" s="65"/>
      <c r="H202" s="65"/>
      <c r="I202" s="65"/>
      <c r="J202" s="65"/>
      <c r="K202" s="66"/>
      <c r="L202" s="65"/>
      <c r="M202" s="65"/>
      <c r="N202" s="65"/>
      <c r="O202" s="65"/>
      <c r="P202" s="65"/>
      <c r="Q202" s="65"/>
      <c r="R202" s="74"/>
      <c r="S202" s="74"/>
      <c r="T202" s="65"/>
      <c r="U202" s="65"/>
      <c r="V202" s="65"/>
      <c r="W202" s="65"/>
      <c r="X202" s="65"/>
    </row>
    <row r="203" ht="14.25" customHeight="1">
      <c r="A203" s="65"/>
      <c r="B203" s="66"/>
      <c r="C203" s="66"/>
      <c r="D203" s="65"/>
      <c r="E203" s="65"/>
      <c r="F203" s="65"/>
      <c r="G203" s="65"/>
      <c r="H203" s="65"/>
      <c r="I203" s="65"/>
      <c r="J203" s="65"/>
      <c r="K203" s="66"/>
      <c r="L203" s="65"/>
      <c r="M203" s="65"/>
      <c r="N203" s="65"/>
      <c r="O203" s="65"/>
      <c r="P203" s="65"/>
      <c r="Q203" s="65"/>
      <c r="R203" s="74"/>
      <c r="S203" s="74"/>
      <c r="T203" s="65"/>
      <c r="U203" s="65"/>
      <c r="V203" s="65"/>
      <c r="W203" s="65"/>
      <c r="X203" s="65"/>
    </row>
    <row r="204" ht="14.25" customHeight="1">
      <c r="A204" s="65"/>
      <c r="B204" s="66"/>
      <c r="C204" s="66"/>
      <c r="D204" s="65"/>
      <c r="E204" s="65"/>
      <c r="F204" s="65"/>
      <c r="G204" s="65"/>
      <c r="H204" s="65"/>
      <c r="I204" s="65"/>
      <c r="J204" s="65"/>
      <c r="K204" s="66"/>
      <c r="L204" s="65"/>
      <c r="M204" s="65"/>
      <c r="N204" s="65"/>
      <c r="O204" s="65"/>
      <c r="P204" s="65"/>
      <c r="Q204" s="65"/>
      <c r="R204" s="74"/>
      <c r="S204" s="74"/>
      <c r="T204" s="65"/>
      <c r="U204" s="65"/>
      <c r="V204" s="65"/>
      <c r="W204" s="65"/>
      <c r="X204" s="65"/>
    </row>
    <row r="205" ht="14.25" customHeight="1">
      <c r="A205" s="65"/>
      <c r="B205" s="66"/>
      <c r="C205" s="66"/>
      <c r="D205" s="65"/>
      <c r="E205" s="65"/>
      <c r="F205" s="65"/>
      <c r="G205" s="65"/>
      <c r="H205" s="65"/>
      <c r="I205" s="65"/>
      <c r="J205" s="65"/>
      <c r="K205" s="66"/>
      <c r="L205" s="65"/>
      <c r="M205" s="65"/>
      <c r="N205" s="65"/>
      <c r="O205" s="65"/>
      <c r="P205" s="65"/>
      <c r="Q205" s="65"/>
      <c r="R205" s="74"/>
      <c r="S205" s="74"/>
      <c r="T205" s="65"/>
      <c r="U205" s="65"/>
      <c r="V205" s="65"/>
      <c r="W205" s="65"/>
      <c r="X205" s="65"/>
    </row>
    <row r="206" ht="14.25" customHeight="1">
      <c r="A206" s="65"/>
      <c r="B206" s="66"/>
      <c r="C206" s="66"/>
      <c r="D206" s="65"/>
      <c r="E206" s="65"/>
      <c r="F206" s="65"/>
      <c r="G206" s="65"/>
      <c r="H206" s="65"/>
      <c r="I206" s="65"/>
      <c r="J206" s="65"/>
      <c r="K206" s="66"/>
      <c r="L206" s="65"/>
      <c r="M206" s="65"/>
      <c r="N206" s="65"/>
      <c r="O206" s="65"/>
      <c r="P206" s="65"/>
      <c r="Q206" s="65"/>
      <c r="R206" s="74"/>
      <c r="S206" s="74"/>
      <c r="T206" s="65"/>
      <c r="U206" s="65"/>
      <c r="V206" s="65"/>
      <c r="W206" s="65"/>
      <c r="X206" s="65"/>
    </row>
    <row r="207" ht="14.25" customHeight="1">
      <c r="A207" s="65"/>
      <c r="B207" s="66"/>
      <c r="C207" s="66"/>
      <c r="D207" s="65"/>
      <c r="E207" s="65"/>
      <c r="F207" s="65"/>
      <c r="G207" s="65"/>
      <c r="H207" s="65"/>
      <c r="I207" s="65"/>
      <c r="J207" s="65"/>
      <c r="K207" s="66"/>
      <c r="L207" s="65"/>
      <c r="M207" s="65"/>
      <c r="N207" s="65"/>
      <c r="O207" s="65"/>
      <c r="P207" s="65"/>
      <c r="Q207" s="65"/>
      <c r="R207" s="74"/>
      <c r="S207" s="74"/>
      <c r="T207" s="65"/>
      <c r="U207" s="65"/>
      <c r="V207" s="65"/>
      <c r="W207" s="65"/>
      <c r="X207" s="65"/>
    </row>
    <row r="208" ht="14.25" customHeight="1">
      <c r="A208" s="65"/>
      <c r="B208" s="66"/>
      <c r="C208" s="66"/>
      <c r="D208" s="65"/>
      <c r="E208" s="65"/>
      <c r="F208" s="65"/>
      <c r="G208" s="65"/>
      <c r="H208" s="65"/>
      <c r="I208" s="65"/>
      <c r="J208" s="65"/>
      <c r="K208" s="66"/>
      <c r="L208" s="65"/>
      <c r="M208" s="65"/>
      <c r="N208" s="65"/>
      <c r="O208" s="65"/>
      <c r="P208" s="65"/>
      <c r="Q208" s="65"/>
      <c r="R208" s="74"/>
      <c r="S208" s="74"/>
      <c r="T208" s="65"/>
      <c r="U208" s="65"/>
      <c r="V208" s="65"/>
      <c r="W208" s="65"/>
      <c r="X208" s="65"/>
    </row>
    <row r="209" ht="14.25" customHeight="1">
      <c r="A209" s="65"/>
      <c r="B209" s="66"/>
      <c r="C209" s="66"/>
      <c r="D209" s="65"/>
      <c r="E209" s="65"/>
      <c r="F209" s="65"/>
      <c r="G209" s="65"/>
      <c r="H209" s="65"/>
      <c r="I209" s="65"/>
      <c r="J209" s="65"/>
      <c r="K209" s="66"/>
      <c r="L209" s="65"/>
      <c r="M209" s="65"/>
      <c r="N209" s="65"/>
      <c r="O209" s="65"/>
      <c r="P209" s="65"/>
      <c r="Q209" s="65"/>
      <c r="R209" s="74"/>
      <c r="S209" s="74"/>
      <c r="T209" s="65"/>
      <c r="U209" s="65"/>
      <c r="V209" s="65"/>
      <c r="W209" s="65"/>
      <c r="X209" s="65"/>
    </row>
    <row r="210" ht="14.25" customHeight="1">
      <c r="A210" s="65"/>
      <c r="B210" s="66"/>
      <c r="C210" s="66"/>
      <c r="D210" s="65"/>
      <c r="E210" s="65"/>
      <c r="F210" s="65"/>
      <c r="G210" s="65"/>
      <c r="H210" s="65"/>
      <c r="I210" s="65"/>
      <c r="J210" s="65"/>
      <c r="K210" s="66"/>
      <c r="L210" s="65"/>
      <c r="M210" s="65"/>
      <c r="N210" s="65"/>
      <c r="O210" s="65"/>
      <c r="P210" s="65"/>
      <c r="Q210" s="65"/>
      <c r="R210" s="74"/>
      <c r="S210" s="74"/>
      <c r="T210" s="65"/>
      <c r="U210" s="65"/>
      <c r="V210" s="65"/>
      <c r="W210" s="65"/>
      <c r="X210" s="65"/>
    </row>
    <row r="211" ht="14.25" customHeight="1">
      <c r="A211" s="65"/>
      <c r="B211" s="66"/>
      <c r="C211" s="66"/>
      <c r="D211" s="65"/>
      <c r="E211" s="65"/>
      <c r="F211" s="65"/>
      <c r="G211" s="65"/>
      <c r="H211" s="65"/>
      <c r="I211" s="65"/>
      <c r="J211" s="65"/>
      <c r="K211" s="66"/>
      <c r="L211" s="65"/>
      <c r="M211" s="65"/>
      <c r="N211" s="65"/>
      <c r="O211" s="65"/>
      <c r="P211" s="65"/>
      <c r="Q211" s="65"/>
      <c r="R211" s="74"/>
      <c r="S211" s="74"/>
      <c r="T211" s="65"/>
      <c r="U211" s="65"/>
      <c r="V211" s="65"/>
      <c r="W211" s="65"/>
      <c r="X211" s="65"/>
    </row>
    <row r="212" ht="14.25" customHeight="1">
      <c r="A212" s="65"/>
      <c r="B212" s="66"/>
      <c r="C212" s="66"/>
      <c r="D212" s="65"/>
      <c r="E212" s="65"/>
      <c r="F212" s="65"/>
      <c r="G212" s="65"/>
      <c r="H212" s="65"/>
      <c r="I212" s="65"/>
      <c r="J212" s="65"/>
      <c r="K212" s="66"/>
      <c r="L212" s="65"/>
      <c r="M212" s="65"/>
      <c r="N212" s="65"/>
      <c r="O212" s="65"/>
      <c r="P212" s="65"/>
      <c r="Q212" s="65"/>
      <c r="R212" s="74"/>
      <c r="S212" s="74"/>
      <c r="T212" s="65"/>
      <c r="U212" s="65"/>
      <c r="V212" s="65"/>
      <c r="W212" s="65"/>
      <c r="X212" s="65"/>
    </row>
    <row r="213" ht="14.25" customHeight="1">
      <c r="A213" s="65"/>
      <c r="B213" s="66"/>
      <c r="C213" s="66"/>
      <c r="D213" s="65"/>
      <c r="E213" s="65"/>
      <c r="F213" s="65"/>
      <c r="G213" s="65"/>
      <c r="H213" s="65"/>
      <c r="I213" s="65"/>
      <c r="J213" s="65"/>
      <c r="K213" s="66"/>
      <c r="L213" s="65"/>
      <c r="M213" s="65"/>
      <c r="N213" s="65"/>
      <c r="O213" s="65"/>
      <c r="P213" s="65"/>
      <c r="Q213" s="65"/>
      <c r="R213" s="74"/>
      <c r="S213" s="74"/>
      <c r="T213" s="65"/>
      <c r="U213" s="65"/>
      <c r="V213" s="65"/>
      <c r="W213" s="65"/>
      <c r="X213" s="65"/>
    </row>
    <row r="214" ht="14.25" customHeight="1">
      <c r="A214" s="65"/>
      <c r="B214" s="66"/>
      <c r="C214" s="66"/>
      <c r="D214" s="65"/>
      <c r="E214" s="65"/>
      <c r="F214" s="65"/>
      <c r="G214" s="65"/>
      <c r="H214" s="65"/>
      <c r="I214" s="65"/>
      <c r="J214" s="65"/>
      <c r="K214" s="66"/>
      <c r="L214" s="65"/>
      <c r="M214" s="65"/>
      <c r="N214" s="65"/>
      <c r="O214" s="65"/>
      <c r="P214" s="65"/>
      <c r="Q214" s="65"/>
      <c r="R214" s="74"/>
      <c r="S214" s="74"/>
      <c r="T214" s="65"/>
      <c r="U214" s="65"/>
      <c r="V214" s="65"/>
      <c r="W214" s="65"/>
      <c r="X214" s="65"/>
    </row>
    <row r="215" ht="14.25" customHeight="1">
      <c r="A215" s="65"/>
      <c r="B215" s="66"/>
      <c r="C215" s="66"/>
      <c r="D215" s="65"/>
      <c r="E215" s="65"/>
      <c r="F215" s="65"/>
      <c r="G215" s="65"/>
      <c r="H215" s="65"/>
      <c r="I215" s="65"/>
      <c r="J215" s="65"/>
      <c r="K215" s="66"/>
      <c r="L215" s="65"/>
      <c r="M215" s="65"/>
      <c r="N215" s="65"/>
      <c r="O215" s="65"/>
      <c r="P215" s="65"/>
      <c r="Q215" s="65"/>
      <c r="R215" s="74"/>
      <c r="S215" s="74"/>
      <c r="T215" s="65"/>
      <c r="U215" s="65"/>
      <c r="V215" s="65"/>
      <c r="W215" s="65"/>
      <c r="X215" s="65"/>
    </row>
    <row r="216" ht="14.25" customHeight="1">
      <c r="A216" s="65"/>
      <c r="B216" s="66"/>
      <c r="C216" s="66"/>
      <c r="D216" s="65"/>
      <c r="E216" s="65"/>
      <c r="F216" s="65"/>
      <c r="G216" s="65"/>
      <c r="H216" s="65"/>
      <c r="I216" s="65"/>
      <c r="J216" s="65"/>
      <c r="K216" s="66"/>
      <c r="L216" s="65"/>
      <c r="M216" s="65"/>
      <c r="N216" s="65"/>
      <c r="O216" s="65"/>
      <c r="P216" s="65"/>
      <c r="Q216" s="65"/>
      <c r="R216" s="74"/>
      <c r="S216" s="74"/>
      <c r="T216" s="65"/>
      <c r="U216" s="65"/>
      <c r="V216" s="65"/>
      <c r="W216" s="65"/>
      <c r="X216" s="65"/>
    </row>
    <row r="217" ht="14.25" customHeight="1">
      <c r="A217" s="65"/>
      <c r="B217" s="66"/>
      <c r="C217" s="66"/>
      <c r="D217" s="65"/>
      <c r="E217" s="65"/>
      <c r="F217" s="65"/>
      <c r="G217" s="65"/>
      <c r="H217" s="65"/>
      <c r="I217" s="65"/>
      <c r="J217" s="65"/>
      <c r="K217" s="66"/>
      <c r="L217" s="65"/>
      <c r="M217" s="65"/>
      <c r="N217" s="65"/>
      <c r="O217" s="65"/>
      <c r="P217" s="65"/>
      <c r="Q217" s="65"/>
      <c r="R217" s="74"/>
      <c r="S217" s="74"/>
      <c r="T217" s="65"/>
      <c r="U217" s="65"/>
      <c r="V217" s="65"/>
      <c r="W217" s="65"/>
      <c r="X217" s="65"/>
    </row>
    <row r="218" ht="14.25" customHeight="1">
      <c r="A218" s="65"/>
      <c r="B218" s="66"/>
      <c r="C218" s="66"/>
      <c r="D218" s="65"/>
      <c r="E218" s="65"/>
      <c r="F218" s="65"/>
      <c r="G218" s="65"/>
      <c r="H218" s="65"/>
      <c r="I218" s="65"/>
      <c r="J218" s="65"/>
      <c r="K218" s="66"/>
      <c r="L218" s="65"/>
      <c r="M218" s="65"/>
      <c r="N218" s="65"/>
      <c r="O218" s="65"/>
      <c r="P218" s="65"/>
      <c r="Q218" s="65"/>
      <c r="R218" s="74"/>
      <c r="S218" s="74"/>
      <c r="T218" s="65"/>
      <c r="U218" s="65"/>
      <c r="V218" s="65"/>
      <c r="W218" s="65"/>
      <c r="X218" s="65"/>
    </row>
    <row r="219" ht="14.25" customHeight="1">
      <c r="A219" s="65"/>
      <c r="B219" s="66"/>
      <c r="C219" s="66"/>
      <c r="D219" s="65"/>
      <c r="E219" s="65"/>
      <c r="F219" s="65"/>
      <c r="G219" s="65"/>
      <c r="H219" s="65"/>
      <c r="I219" s="65"/>
      <c r="J219" s="65"/>
      <c r="K219" s="66"/>
      <c r="L219" s="65"/>
      <c r="M219" s="65"/>
      <c r="N219" s="65"/>
      <c r="O219" s="65"/>
      <c r="P219" s="65"/>
      <c r="Q219" s="65"/>
      <c r="R219" s="74"/>
      <c r="S219" s="74"/>
      <c r="T219" s="65"/>
      <c r="U219" s="65"/>
      <c r="V219" s="65"/>
      <c r="W219" s="65"/>
      <c r="X219" s="65"/>
    </row>
    <row r="220" ht="14.25" customHeight="1">
      <c r="A220" s="65"/>
      <c r="B220" s="66"/>
      <c r="C220" s="66"/>
      <c r="D220" s="65"/>
      <c r="E220" s="65"/>
      <c r="F220" s="65"/>
      <c r="G220" s="65"/>
      <c r="H220" s="65"/>
      <c r="I220" s="65"/>
      <c r="J220" s="65"/>
      <c r="K220" s="66"/>
      <c r="L220" s="65"/>
      <c r="M220" s="65"/>
      <c r="N220" s="65"/>
      <c r="O220" s="65"/>
      <c r="P220" s="65"/>
      <c r="Q220" s="65"/>
      <c r="R220" s="74"/>
      <c r="S220" s="74"/>
      <c r="T220" s="65"/>
      <c r="U220" s="65"/>
      <c r="V220" s="65"/>
      <c r="W220" s="65"/>
      <c r="X220" s="65"/>
    </row>
    <row r="221" ht="14.25" customHeight="1">
      <c r="A221" s="65"/>
      <c r="B221" s="66"/>
      <c r="C221" s="66"/>
      <c r="D221" s="65"/>
      <c r="E221" s="65"/>
      <c r="F221" s="65"/>
      <c r="G221" s="65"/>
      <c r="H221" s="65"/>
      <c r="I221" s="65"/>
      <c r="J221" s="65"/>
      <c r="K221" s="66"/>
      <c r="L221" s="65"/>
      <c r="M221" s="65"/>
      <c r="N221" s="65"/>
      <c r="O221" s="65"/>
      <c r="P221" s="65"/>
      <c r="Q221" s="65"/>
      <c r="R221" s="74"/>
      <c r="S221" s="74"/>
      <c r="T221" s="65"/>
      <c r="U221" s="65"/>
      <c r="V221" s="65"/>
      <c r="W221" s="65"/>
      <c r="X221" s="65"/>
    </row>
    <row r="222" ht="14.25" customHeight="1">
      <c r="A222" s="65"/>
      <c r="B222" s="66"/>
      <c r="C222" s="66"/>
      <c r="D222" s="65"/>
      <c r="E222" s="65"/>
      <c r="F222" s="65"/>
      <c r="G222" s="65"/>
      <c r="H222" s="65"/>
      <c r="I222" s="65"/>
      <c r="J222" s="65"/>
      <c r="K222" s="66"/>
      <c r="L222" s="65"/>
      <c r="M222" s="65"/>
      <c r="N222" s="65"/>
      <c r="O222" s="65"/>
      <c r="P222" s="65"/>
      <c r="Q222" s="65"/>
      <c r="R222" s="74"/>
      <c r="S222" s="74"/>
      <c r="T222" s="65"/>
      <c r="U222" s="65"/>
      <c r="V222" s="65"/>
      <c r="W222" s="65"/>
      <c r="X222" s="65"/>
    </row>
    <row r="223" ht="14.25" customHeight="1">
      <c r="A223" s="65"/>
      <c r="B223" s="66"/>
      <c r="C223" s="66"/>
      <c r="D223" s="65"/>
      <c r="E223" s="65"/>
      <c r="F223" s="65"/>
      <c r="G223" s="65"/>
      <c r="H223" s="65"/>
      <c r="I223" s="65"/>
      <c r="J223" s="65"/>
      <c r="K223" s="66"/>
      <c r="L223" s="65"/>
      <c r="M223" s="65"/>
      <c r="N223" s="65"/>
      <c r="O223" s="65"/>
      <c r="P223" s="65"/>
      <c r="Q223" s="65"/>
      <c r="R223" s="74"/>
      <c r="S223" s="74"/>
      <c r="T223" s="65"/>
      <c r="U223" s="65"/>
      <c r="V223" s="65"/>
      <c r="W223" s="65"/>
      <c r="X223" s="65"/>
    </row>
    <row r="224" ht="14.25" customHeight="1">
      <c r="A224" s="65"/>
      <c r="B224" s="66"/>
      <c r="C224" s="66"/>
      <c r="D224" s="65"/>
      <c r="E224" s="65"/>
      <c r="F224" s="65"/>
      <c r="G224" s="65"/>
      <c r="H224" s="65"/>
      <c r="I224" s="65"/>
      <c r="J224" s="65"/>
      <c r="K224" s="66"/>
      <c r="L224" s="65"/>
      <c r="M224" s="65"/>
      <c r="N224" s="65"/>
      <c r="O224" s="65"/>
      <c r="P224" s="65"/>
      <c r="Q224" s="65"/>
      <c r="R224" s="74"/>
      <c r="S224" s="74"/>
      <c r="T224" s="65"/>
      <c r="U224" s="65"/>
      <c r="V224" s="65"/>
      <c r="W224" s="65"/>
      <c r="X224" s="65"/>
    </row>
  </sheetData>
  <mergeCells count="9">
    <mergeCell ref="D4:E4"/>
    <mergeCell ref="D5:E5"/>
    <mergeCell ref="D6:E6"/>
    <mergeCell ref="D7:E7"/>
    <mergeCell ref="D8:E8"/>
    <mergeCell ref="D9:E9"/>
    <mergeCell ref="H12:J12"/>
    <mergeCell ref="H20:J20"/>
    <mergeCell ref="A1:K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4" width="4.86"/>
    <col customWidth="1" hidden="1" min="5" max="6" width="4.86"/>
    <col customWidth="1" min="7" max="8" width="2.71"/>
    <col customWidth="1" min="9" max="11" width="4.43"/>
    <col customWidth="1" min="12" max="12" width="9.29"/>
    <col customWidth="1" min="13" max="13" width="10.71"/>
    <col customWidth="1" min="14" max="14" width="8.57"/>
    <col customWidth="1" min="15" max="15" width="11.14"/>
  </cols>
  <sheetData>
    <row r="1" ht="12.75" customHeight="1">
      <c r="A1" s="77" t="s">
        <v>41</v>
      </c>
      <c r="B1" s="78" t="s">
        <v>123</v>
      </c>
      <c r="C1" s="20"/>
      <c r="D1" s="20"/>
      <c r="E1" s="20"/>
      <c r="F1" s="62"/>
      <c r="G1" s="79" t="s">
        <v>124</v>
      </c>
      <c r="H1" s="62"/>
      <c r="I1" s="78" t="s">
        <v>125</v>
      </c>
      <c r="J1" s="20"/>
      <c r="K1" s="62"/>
      <c r="L1" s="77"/>
      <c r="M1" s="80" t="s">
        <v>126</v>
      </c>
      <c r="N1" s="77" t="s">
        <v>41</v>
      </c>
      <c r="O1" s="81" t="s">
        <v>127</v>
      </c>
    </row>
    <row r="2" ht="12.75" customHeight="1">
      <c r="A2" s="82"/>
      <c r="B2" s="82"/>
      <c r="C2" s="82"/>
      <c r="D2" s="83"/>
      <c r="E2" s="82"/>
      <c r="F2" s="82"/>
      <c r="G2" s="84"/>
      <c r="H2" s="84"/>
      <c r="I2" s="82"/>
      <c r="J2" s="82"/>
      <c r="K2" s="82"/>
      <c r="L2" s="82"/>
      <c r="M2" s="84"/>
      <c r="N2" s="82"/>
      <c r="O2" s="85"/>
    </row>
    <row r="3" ht="12.75" customHeight="1">
      <c r="A3" s="82"/>
      <c r="B3" s="82"/>
      <c r="C3" s="82"/>
      <c r="D3" s="83"/>
      <c r="E3" s="82"/>
      <c r="F3" s="82"/>
      <c r="G3" s="84"/>
      <c r="H3" s="84"/>
      <c r="I3" s="82"/>
      <c r="J3" s="82"/>
      <c r="K3" s="82"/>
      <c r="L3" s="82"/>
      <c r="M3" s="84"/>
      <c r="N3" s="82"/>
      <c r="O3" s="85"/>
    </row>
    <row r="4" ht="12.75" customHeight="1">
      <c r="A4" s="82"/>
      <c r="B4" s="82"/>
      <c r="C4" s="82"/>
      <c r="D4" s="83"/>
      <c r="E4" s="82"/>
      <c r="F4" s="82"/>
      <c r="G4" s="84"/>
      <c r="H4" s="84"/>
      <c r="I4" s="82"/>
      <c r="J4" s="82"/>
      <c r="K4" s="82"/>
      <c r="L4" s="82"/>
      <c r="M4" s="84"/>
      <c r="N4" s="82"/>
      <c r="O4" s="85"/>
    </row>
    <row r="5" ht="14.25" customHeight="1">
      <c r="A5" s="86" t="s">
        <v>128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62"/>
    </row>
    <row r="6" ht="12.75" customHeight="1">
      <c r="A6" s="87"/>
      <c r="B6" s="87"/>
      <c r="C6" s="87"/>
      <c r="D6" s="88"/>
      <c r="E6" s="87"/>
      <c r="F6" s="87"/>
      <c r="G6" s="89"/>
      <c r="H6" s="89"/>
      <c r="I6" s="87"/>
      <c r="J6" s="87"/>
      <c r="K6" s="87"/>
      <c r="L6" s="87"/>
      <c r="M6" s="89" t="str">
        <f>INDEX!F95</f>
        <v>0.9994352</v>
      </c>
      <c r="N6" s="87"/>
      <c r="O6" s="90"/>
    </row>
    <row r="7" ht="12.75" customHeight="1">
      <c r="A7" s="77" t="s">
        <v>41</v>
      </c>
      <c r="B7" s="78" t="s">
        <v>123</v>
      </c>
      <c r="C7" s="20"/>
      <c r="D7" s="20"/>
      <c r="E7" s="20"/>
      <c r="F7" s="62"/>
      <c r="G7" s="79" t="s">
        <v>124</v>
      </c>
      <c r="H7" s="62"/>
      <c r="I7" s="78" t="s">
        <v>125</v>
      </c>
      <c r="J7" s="20"/>
      <c r="K7" s="62"/>
      <c r="L7" s="77"/>
      <c r="M7" s="80" t="s">
        <v>126</v>
      </c>
      <c r="N7" s="77" t="s">
        <v>41</v>
      </c>
      <c r="O7" s="81" t="s">
        <v>127</v>
      </c>
    </row>
    <row r="8" ht="12.75" customHeight="1">
      <c r="A8" s="87"/>
      <c r="B8" s="87"/>
      <c r="C8" s="87"/>
      <c r="D8" s="88"/>
      <c r="E8" s="87"/>
      <c r="F8" s="87"/>
      <c r="G8" s="89"/>
      <c r="H8" s="89"/>
      <c r="I8" s="87"/>
      <c r="J8" s="87"/>
      <c r="K8" s="87" t="s">
        <v>129</v>
      </c>
      <c r="L8" s="87" t="str">
        <f>TRVS!A11</f>
        <v>DD/6124</v>
      </c>
      <c r="M8" s="89"/>
      <c r="N8" s="87"/>
      <c r="O8" s="90"/>
    </row>
    <row r="9" ht="12.75" customHeight="1">
      <c r="A9" s="87" t="str">
        <f>DTM!A12</f>
        <v>cm1</v>
      </c>
      <c r="B9" s="87" t="str">
        <f t="shared" ref="B9:B10" si="1">TRUNC(F9,0)</f>
        <v>16</v>
      </c>
      <c r="C9" s="87" t="str">
        <f t="shared" ref="C9:C10" si="2">TRUNC((F9-B9)*60,0)</f>
        <v>27</v>
      </c>
      <c r="D9" s="88" t="str">
        <f t="shared" ref="D9:D10" si="3">ROUND(((F9-B9)-C9/60)*3600,0)</f>
        <v>19</v>
      </c>
      <c r="E9" s="88" t="str">
        <f>F9</f>
        <v>16</v>
      </c>
      <c r="F9" s="88" t="str">
        <f>I9+J9/60+K9/3600-H9/3600</f>
        <v>16</v>
      </c>
      <c r="G9" s="89"/>
      <c r="H9" s="89">
        <v>0.0</v>
      </c>
      <c r="I9" s="88" t="str">
        <f>TRVS!B9</f>
        <v>16</v>
      </c>
      <c r="J9" s="88" t="str">
        <f>TRVS!C9</f>
        <v>27</v>
      </c>
      <c r="K9" s="88" t="str">
        <f>TRVS!D9</f>
        <v>19</v>
      </c>
      <c r="L9" s="87"/>
      <c r="M9" s="89"/>
      <c r="N9" s="87"/>
      <c r="O9" s="90"/>
    </row>
    <row r="10" ht="12.75" customHeight="1">
      <c r="A10" s="87"/>
      <c r="B10" s="87" t="str">
        <f t="shared" si="1"/>
        <v>196</v>
      </c>
      <c r="C10" s="87" t="str">
        <f t="shared" si="2"/>
        <v>27</v>
      </c>
      <c r="D10" s="88" t="str">
        <f t="shared" si="3"/>
        <v>18</v>
      </c>
      <c r="E10" s="88" t="str">
        <f>E9-(B11+C11/60+D11/3600)</f>
        <v>-164</v>
      </c>
      <c r="F10" s="88" t="str">
        <f>IF(E10&gt;0,E10,E10+360)</f>
        <v>196</v>
      </c>
      <c r="G10" s="89"/>
      <c r="H10" s="89"/>
      <c r="I10" s="87"/>
      <c r="J10" s="87"/>
      <c r="K10" s="87"/>
      <c r="L10" s="87"/>
      <c r="M10" s="89"/>
      <c r="N10" s="87"/>
      <c r="O10" s="90"/>
    </row>
    <row r="11" ht="12.75" customHeight="1">
      <c r="A11" s="87"/>
      <c r="B11" s="87">
        <v>180.0</v>
      </c>
      <c r="C11" s="87">
        <v>0.0</v>
      </c>
      <c r="D11" s="88">
        <v>1.0</v>
      </c>
      <c r="E11" s="87"/>
      <c r="F11" s="87"/>
      <c r="G11" s="89"/>
      <c r="H11" s="89"/>
      <c r="I11" s="87"/>
      <c r="J11" s="87"/>
      <c r="K11" s="87"/>
      <c r="L11" s="87"/>
      <c r="M11" s="89"/>
      <c r="N11" s="87"/>
      <c r="O11" s="90"/>
    </row>
    <row r="12" ht="12.75" customHeight="1">
      <c r="A12" s="87"/>
      <c r="B12" s="87"/>
      <c r="C12" s="87"/>
      <c r="D12" s="88"/>
      <c r="E12" s="87"/>
      <c r="F12" s="87"/>
      <c r="G12" s="89"/>
      <c r="H12" s="89"/>
      <c r="I12" s="87"/>
      <c r="J12" s="87"/>
      <c r="K12" s="87"/>
      <c r="L12" s="87"/>
      <c r="M12" s="89"/>
      <c r="N12" s="87"/>
      <c r="O12" s="90"/>
    </row>
    <row r="13" ht="12.75" customHeight="1">
      <c r="A13" s="87" t="str">
        <f>DTM!A15</f>
        <v>DD/6126</v>
      </c>
      <c r="B13" s="87" t="str">
        <f t="shared" ref="B13:B14" si="4">TRUNC(F13,0)</f>
        <v>53</v>
      </c>
      <c r="C13" s="87" t="str">
        <f t="shared" ref="C13:C14" si="5">TRUNC((F13-B13)*60,0)</f>
        <v>44</v>
      </c>
      <c r="D13" s="88" t="str">
        <f t="shared" ref="D13:D14" si="6">ROUND(((F13-B13)-C13/60)*3600,0)</f>
        <v>49</v>
      </c>
      <c r="E13" s="88" t="str">
        <f>F13</f>
        <v>54</v>
      </c>
      <c r="F13" s="88" t="str">
        <f>I13+J13/60+K13/3600-(H13+G13)/3600</f>
        <v>54</v>
      </c>
      <c r="G13" s="89" t="str">
        <f>ROUND(((B11+C11/60+D11/3600)-(B15+C15/60+D15/3600))/2*3600,0)</f>
        <v>0</v>
      </c>
      <c r="H13" s="89">
        <v>0.0</v>
      </c>
      <c r="I13" s="88" t="str">
        <f>TRVS!B10</f>
        <v>53</v>
      </c>
      <c r="J13" s="88" t="str">
        <f>TRVS!C10</f>
        <v>44</v>
      </c>
      <c r="K13" s="88" t="str">
        <f>TRVS!D10</f>
        <v>49</v>
      </c>
      <c r="L13" s="87"/>
      <c r="M13" s="89"/>
      <c r="N13" s="87"/>
      <c r="O13" s="90"/>
    </row>
    <row r="14" ht="12.75" customHeight="1">
      <c r="A14" s="87"/>
      <c r="B14" s="87" t="str">
        <f t="shared" si="4"/>
        <v>233</v>
      </c>
      <c r="C14" s="87" t="str">
        <f t="shared" si="5"/>
        <v>44</v>
      </c>
      <c r="D14" s="88" t="str">
        <f t="shared" si="6"/>
        <v>48</v>
      </c>
      <c r="E14" s="88" t="str">
        <f>E13-(B15+C15/60+D15/3600)</f>
        <v>-126</v>
      </c>
      <c r="F14" s="88" t="str">
        <f>IF(E14&gt;0,E14,E14+360)</f>
        <v>234</v>
      </c>
      <c r="G14" s="89"/>
      <c r="H14" s="89"/>
      <c r="I14" s="87"/>
      <c r="J14" s="87"/>
      <c r="K14" s="87"/>
      <c r="L14" s="87"/>
      <c r="M14" s="89"/>
      <c r="N14" s="87"/>
      <c r="O14" s="90"/>
    </row>
    <row r="15" ht="12.75" customHeight="1">
      <c r="A15" s="87"/>
      <c r="B15" s="87">
        <v>180.0</v>
      </c>
      <c r="C15" s="87">
        <v>0.0</v>
      </c>
      <c r="D15" s="88">
        <v>1.0</v>
      </c>
      <c r="E15" s="87"/>
      <c r="F15" s="87"/>
      <c r="G15" s="89"/>
      <c r="H15" s="89"/>
      <c r="I15" s="87"/>
      <c r="J15" s="87"/>
      <c r="K15" s="87"/>
      <c r="L15" s="87"/>
      <c r="M15" s="89"/>
      <c r="N15" s="87"/>
      <c r="O15" s="90"/>
    </row>
    <row r="16" ht="12.75" customHeight="1">
      <c r="A16" s="87"/>
      <c r="B16" s="87"/>
      <c r="C16" s="87"/>
      <c r="D16" s="88"/>
      <c r="E16" s="87"/>
      <c r="F16" s="87"/>
      <c r="G16" s="89"/>
      <c r="H16" s="89"/>
      <c r="I16" s="87"/>
      <c r="J16" s="87"/>
      <c r="K16" s="87"/>
      <c r="L16" s="87"/>
      <c r="M16" s="89"/>
      <c r="N16" s="87"/>
      <c r="O16" s="90"/>
    </row>
    <row r="17" ht="12.75" customHeight="1">
      <c r="A17" s="87" t="str">
        <f>TRVS!A12</f>
        <v>CM1</v>
      </c>
      <c r="B17" s="87" t="str">
        <f t="shared" ref="B17:B18" si="7">TRUNC(F17,0)</f>
        <v>134</v>
      </c>
      <c r="C17" s="87" t="str">
        <f t="shared" ref="C17:C18" si="8">TRUNC((F17-B17)*60,0)</f>
        <v>37</v>
      </c>
      <c r="D17" s="88" t="str">
        <f t="shared" ref="D17:D18" si="9">ROUND(((F17-B17)-C17/60)*3600,0)</f>
        <v>57</v>
      </c>
      <c r="E17" s="88" t="str">
        <f>F17</f>
        <v>135</v>
      </c>
      <c r="F17" s="88" t="str">
        <f>I17+J17/60+K17/3600-(H17+G17)/3600</f>
        <v>135</v>
      </c>
      <c r="G17" s="89" t="str">
        <f>ROUND(((B11+C11/60+D11/3600)-(B19+C19/60+D19/3600))/2*3600,0)</f>
        <v>3</v>
      </c>
      <c r="H17" s="89" t="str">
        <f>H9</f>
        <v>0</v>
      </c>
      <c r="I17" s="88" t="str">
        <f>TRVS!B12</f>
        <v>134</v>
      </c>
      <c r="J17" s="88" t="str">
        <f>TRVS!C12</f>
        <v>37</v>
      </c>
      <c r="K17" s="88" t="str">
        <f>TRVS!D12</f>
        <v>60</v>
      </c>
      <c r="L17" s="87" t="str">
        <f>L8</f>
        <v>DD/6124</v>
      </c>
      <c r="M17" s="91" t="str">
        <f>TRVS!L12</f>
        <v>288.119</v>
      </c>
      <c r="N17" s="87" t="str">
        <f>A17</f>
        <v>CM1</v>
      </c>
      <c r="O17" s="90" t="str">
        <f>M17/$M$6</f>
        <v>288.282</v>
      </c>
    </row>
    <row r="18" ht="12.75" customHeight="1">
      <c r="A18" s="87"/>
      <c r="B18" s="87" t="str">
        <f t="shared" si="7"/>
        <v>314</v>
      </c>
      <c r="C18" s="87" t="str">
        <f t="shared" si="8"/>
        <v>38</v>
      </c>
      <c r="D18" s="88" t="str">
        <f t="shared" si="9"/>
        <v>2</v>
      </c>
      <c r="E18" s="88" t="str">
        <f>E17-(B19+C19/60+D19/3600)</f>
        <v>-45</v>
      </c>
      <c r="F18" s="88" t="str">
        <f>IF(E18&gt;0,E18,E18+360)</f>
        <v>315</v>
      </c>
      <c r="G18" s="89"/>
      <c r="H18" s="89"/>
      <c r="I18" s="87"/>
      <c r="J18" s="87"/>
      <c r="K18" s="87"/>
      <c r="L18" s="87"/>
      <c r="M18" s="91"/>
      <c r="N18" s="87"/>
      <c r="O18" s="90"/>
    </row>
    <row r="19" ht="12.75" customHeight="1">
      <c r="A19" s="87"/>
      <c r="B19" s="87">
        <v>179.0</v>
      </c>
      <c r="C19" s="87">
        <v>59.0</v>
      </c>
      <c r="D19" s="88">
        <v>55.0</v>
      </c>
      <c r="E19" s="87"/>
      <c r="F19" s="87"/>
      <c r="G19" s="89"/>
      <c r="H19" s="89"/>
      <c r="I19" s="87"/>
      <c r="J19" s="87"/>
      <c r="K19" s="87"/>
      <c r="L19" s="87"/>
      <c r="M19" s="91"/>
      <c r="N19" s="87"/>
      <c r="O19" s="90"/>
    </row>
    <row r="20" ht="12.75" customHeight="1">
      <c r="A20" s="87"/>
      <c r="B20" s="87"/>
      <c r="C20" s="87"/>
      <c r="D20" s="88"/>
      <c r="E20" s="87"/>
      <c r="F20" s="87"/>
      <c r="G20" s="89"/>
      <c r="H20" s="89"/>
      <c r="I20" s="87"/>
      <c r="J20" s="87"/>
      <c r="K20" s="87" t="s">
        <v>129</v>
      </c>
      <c r="L20" s="87" t="str">
        <f>A17</f>
        <v>CM1</v>
      </c>
      <c r="M20" s="91"/>
      <c r="N20" s="87"/>
      <c r="O20" s="90"/>
    </row>
    <row r="21" ht="12.75" customHeight="1">
      <c r="A21" s="87" t="str">
        <f>L8</f>
        <v>DD/6124</v>
      </c>
      <c r="B21" s="87" t="str">
        <f t="shared" ref="B21:B22" si="11">TRUNC(F21,0)</f>
        <v>314</v>
      </c>
      <c r="C21" s="87" t="str">
        <f t="shared" ref="C21:C22" si="12">TRUNC((F21-B21)*60,0)</f>
        <v>37</v>
      </c>
      <c r="D21" s="88" t="str">
        <f t="shared" ref="D21:D22" si="13">ROUND(((F21-B21)-C21/60)*3600,0)</f>
        <v>57</v>
      </c>
      <c r="E21" s="88" t="str">
        <f>F21</f>
        <v>315</v>
      </c>
      <c r="F21" s="88" t="str">
        <f>I21+J21/60+K21/3600-(H21+G21)/3600</f>
        <v>315</v>
      </c>
      <c r="G21" s="89"/>
      <c r="H21" s="89">
        <v>3.0</v>
      </c>
      <c r="I21" s="88" t="str">
        <f>IF(I17&lt;180,I17+180,I17-180)</f>
        <v>314</v>
      </c>
      <c r="J21" s="88" t="str">
        <f t="shared" ref="J21:K21" si="10">J17</f>
        <v>37</v>
      </c>
      <c r="K21" s="88" t="str">
        <f t="shared" si="10"/>
        <v>60</v>
      </c>
      <c r="L21" s="87"/>
      <c r="M21" s="91"/>
      <c r="N21" s="87"/>
      <c r="O21" s="90"/>
    </row>
    <row r="22" ht="12.75" customHeight="1">
      <c r="A22" s="87"/>
      <c r="B22" s="87" t="str">
        <f t="shared" si="11"/>
        <v>114</v>
      </c>
      <c r="C22" s="87" t="str">
        <f t="shared" si="12"/>
        <v>37</v>
      </c>
      <c r="D22" s="88" t="str">
        <f t="shared" si="13"/>
        <v>56</v>
      </c>
      <c r="E22" s="88" t="str">
        <f>E21-(B23+C23/60+D23/3600)</f>
        <v>115</v>
      </c>
      <c r="F22" s="88" t="str">
        <f>IF(E22&gt;0,E22,E22+360)</f>
        <v>115</v>
      </c>
      <c r="G22" s="89"/>
      <c r="H22" s="89"/>
      <c r="I22" s="87"/>
      <c r="J22" s="87"/>
      <c r="K22" s="87"/>
      <c r="L22" s="87"/>
      <c r="M22" s="91"/>
      <c r="N22" s="87"/>
      <c r="O22" s="90"/>
    </row>
    <row r="23" ht="12.75" customHeight="1">
      <c r="A23" s="87"/>
      <c r="B23" s="87">
        <v>200.0</v>
      </c>
      <c r="C23" s="87">
        <v>0.0</v>
      </c>
      <c r="D23" s="88">
        <v>1.0</v>
      </c>
      <c r="E23" s="87"/>
      <c r="F23" s="87"/>
      <c r="G23" s="89"/>
      <c r="H23" s="89"/>
      <c r="I23" s="87"/>
      <c r="J23" s="87"/>
      <c r="K23" s="87"/>
      <c r="L23" s="87"/>
      <c r="M23" s="91"/>
      <c r="N23" s="87"/>
      <c r="O23" s="90"/>
    </row>
    <row r="24" ht="12.75" customHeight="1">
      <c r="A24" s="87"/>
      <c r="B24" s="87"/>
      <c r="C24" s="87"/>
      <c r="D24" s="88"/>
      <c r="E24" s="87"/>
      <c r="F24" s="87"/>
      <c r="G24" s="89"/>
      <c r="H24" s="89"/>
      <c r="I24" s="87"/>
      <c r="J24" s="87"/>
      <c r="K24" s="87"/>
      <c r="L24" s="87"/>
      <c r="M24" s="91"/>
      <c r="N24" s="87"/>
      <c r="O24" s="90"/>
    </row>
    <row r="25" ht="12.75" customHeight="1">
      <c r="A25" s="87" t="str">
        <f>TRVS!A13</f>
        <v>CM2</v>
      </c>
      <c r="B25" s="87" t="str">
        <f t="shared" ref="B25:B26" si="14">TRUNC(F25,0)</f>
        <v>232</v>
      </c>
      <c r="C25" s="87" t="str">
        <f t="shared" ref="C25:C26" si="15">TRUNC((F25-B25)*60,0)</f>
        <v>58</v>
      </c>
      <c r="D25" s="88" t="str">
        <f t="shared" ref="D25:D26" si="16">ROUND(((F25-B25)-C25/60)*3600,0)</f>
        <v>14</v>
      </c>
      <c r="E25" s="88" t="str">
        <f>F25</f>
        <v>233</v>
      </c>
      <c r="F25" s="88" t="str">
        <f>I25+J25/60+K25/3600-(H25+G25)/3600</f>
        <v>233</v>
      </c>
      <c r="G25" s="89" t="str">
        <f>ROUND(((B23+C23/60+D23/3600)-(B27+C27/60+D27/3600))/2*3600,0)</f>
        <v>-1</v>
      </c>
      <c r="H25" s="89" t="str">
        <f>H21</f>
        <v>3</v>
      </c>
      <c r="I25" s="88" t="str">
        <f>TRVS!B13</f>
        <v>232</v>
      </c>
      <c r="J25" s="88" t="str">
        <f>TRVS!C13</f>
        <v>58</v>
      </c>
      <c r="K25" s="88" t="str">
        <f>TRVS!D13</f>
        <v>16</v>
      </c>
      <c r="L25" s="87" t="str">
        <f>L20</f>
        <v>CM1</v>
      </c>
      <c r="M25" s="91" t="str">
        <f>TRVS!L13</f>
        <v>30.450</v>
      </c>
      <c r="N25" s="87" t="str">
        <f>A25</f>
        <v>CM2</v>
      </c>
      <c r="O25" s="90" t="str">
        <f>M25/$M$6</f>
        <v>30.467</v>
      </c>
    </row>
    <row r="26" ht="12.75" customHeight="1">
      <c r="A26" s="87"/>
      <c r="B26" s="87" t="str">
        <f t="shared" si="14"/>
        <v>32</v>
      </c>
      <c r="C26" s="87" t="str">
        <f t="shared" si="15"/>
        <v>58</v>
      </c>
      <c r="D26" s="88" t="str">
        <f t="shared" si="16"/>
        <v>12</v>
      </c>
      <c r="E26" s="88" t="str">
        <f>E25-(B27+C27/60+D27/3600)</f>
        <v>33</v>
      </c>
      <c r="F26" s="88" t="str">
        <f>IF(E26&gt;0,E26,E26+360)</f>
        <v>33</v>
      </c>
      <c r="G26" s="89"/>
      <c r="H26" s="89"/>
      <c r="I26" s="87"/>
      <c r="J26" s="87"/>
      <c r="K26" s="87"/>
      <c r="L26" s="87"/>
      <c r="M26" s="91"/>
      <c r="N26" s="87"/>
      <c r="O26" s="90"/>
    </row>
    <row r="27" ht="12.75" customHeight="1">
      <c r="A27" s="87"/>
      <c r="B27" s="87">
        <v>200.0</v>
      </c>
      <c r="C27" s="87">
        <v>0.0</v>
      </c>
      <c r="D27" s="88">
        <v>2.0</v>
      </c>
      <c r="E27" s="87"/>
      <c r="F27" s="87"/>
      <c r="G27" s="89"/>
      <c r="H27" s="89"/>
      <c r="I27" s="87"/>
      <c r="J27" s="87"/>
      <c r="K27" s="87"/>
      <c r="L27" s="87"/>
      <c r="M27" s="91"/>
      <c r="N27" s="87"/>
      <c r="O27" s="90"/>
    </row>
    <row r="28" ht="12.75" customHeight="1">
      <c r="A28" s="87"/>
      <c r="B28" s="87"/>
      <c r="C28" s="87"/>
      <c r="D28" s="88"/>
      <c r="E28" s="87"/>
      <c r="F28" s="87"/>
      <c r="G28" s="89"/>
      <c r="H28" s="89"/>
      <c r="I28" s="87"/>
      <c r="J28" s="87"/>
      <c r="K28" s="87" t="s">
        <v>129</v>
      </c>
      <c r="L28" s="87" t="str">
        <f>A25</f>
        <v>CM2</v>
      </c>
      <c r="M28" s="91"/>
      <c r="N28" s="87"/>
      <c r="O28" s="90"/>
    </row>
    <row r="29" ht="12.75" customHeight="1">
      <c r="A29" s="87" t="str">
        <f>L20</f>
        <v>CM1</v>
      </c>
      <c r="B29" s="87" t="str">
        <f t="shared" ref="B29:B30" si="18">TRUNC(F29,0)</f>
        <v>52</v>
      </c>
      <c r="C29" s="87" t="str">
        <f t="shared" ref="C29:C30" si="19">TRUNC((F29-B29)*60,0)</f>
        <v>58</v>
      </c>
      <c r="D29" s="88" t="str">
        <f t="shared" ref="D29:D30" si="20">ROUND(((F29-B29)-C29/60)*3600,0)</f>
        <v>15</v>
      </c>
      <c r="E29" s="88" t="str">
        <f>F29</f>
        <v>53</v>
      </c>
      <c r="F29" s="88" t="str">
        <f>I29+J29/60+K29/3600-(H29+G29)/3600</f>
        <v>53</v>
      </c>
      <c r="G29" s="89"/>
      <c r="H29" s="89">
        <v>1.0</v>
      </c>
      <c r="I29" s="88" t="str">
        <f>IF(I25&lt;180,I25+180,I25-180)</f>
        <v>52</v>
      </c>
      <c r="J29" s="88" t="str">
        <f t="shared" ref="J29:K29" si="17">J25</f>
        <v>58</v>
      </c>
      <c r="K29" s="88" t="str">
        <f t="shared" si="17"/>
        <v>16</v>
      </c>
      <c r="L29" s="87"/>
      <c r="M29" s="91"/>
      <c r="N29" s="87"/>
      <c r="O29" s="90"/>
    </row>
    <row r="30" ht="12.75" customHeight="1">
      <c r="A30" s="87"/>
      <c r="B30" s="87" t="str">
        <f t="shared" si="18"/>
        <v>232</v>
      </c>
      <c r="C30" s="87" t="str">
        <f t="shared" si="19"/>
        <v>58</v>
      </c>
      <c r="D30" s="88" t="str">
        <f t="shared" si="20"/>
        <v>14</v>
      </c>
      <c r="E30" s="88" t="str">
        <f>E29-(B31+C31/60+D31/3600)</f>
        <v>-127</v>
      </c>
      <c r="F30" s="88" t="str">
        <f>IF(E30&gt;0,E30,E30+360)</f>
        <v>233</v>
      </c>
      <c r="G30" s="89"/>
      <c r="H30" s="89"/>
      <c r="I30" s="87"/>
      <c r="J30" s="87"/>
      <c r="K30" s="87"/>
      <c r="L30" s="87"/>
      <c r="M30" s="91"/>
      <c r="N30" s="87"/>
      <c r="O30" s="90"/>
    </row>
    <row r="31" ht="12.75" customHeight="1">
      <c r="A31" s="87"/>
      <c r="B31" s="87">
        <v>180.0</v>
      </c>
      <c r="C31" s="87">
        <v>0.0</v>
      </c>
      <c r="D31" s="88">
        <v>1.0</v>
      </c>
      <c r="E31" s="87"/>
      <c r="F31" s="87"/>
      <c r="G31" s="89"/>
      <c r="H31" s="89"/>
      <c r="I31" s="87"/>
      <c r="J31" s="87"/>
      <c r="K31" s="87"/>
      <c r="L31" s="87"/>
      <c r="M31" s="91"/>
      <c r="N31" s="87"/>
      <c r="O31" s="90"/>
    </row>
    <row r="32" ht="12.75" customHeight="1">
      <c r="A32" s="87"/>
      <c r="B32" s="87"/>
      <c r="C32" s="87"/>
      <c r="D32" s="88"/>
      <c r="E32" s="87"/>
      <c r="F32" s="87"/>
      <c r="G32" s="89"/>
      <c r="H32" s="89"/>
      <c r="I32" s="87"/>
      <c r="J32" s="87"/>
      <c r="K32" s="87"/>
      <c r="L32" s="87"/>
      <c r="M32" s="91"/>
      <c r="N32" s="87"/>
      <c r="O32" s="90"/>
    </row>
    <row r="33" ht="12.75" customHeight="1">
      <c r="A33" s="87" t="str">
        <f>TRVS!A14</f>
        <v>CM3</v>
      </c>
      <c r="B33" s="87" t="str">
        <f t="shared" ref="B33:B34" si="21">TRUNC(F33,0)</f>
        <v>215</v>
      </c>
      <c r="C33" s="87" t="str">
        <f t="shared" ref="C33:C34" si="22">TRUNC((F33-B33)*60,0)</f>
        <v>42</v>
      </c>
      <c r="D33" s="88" t="str">
        <f t="shared" ref="D33:D34" si="23">ROUND(((F33-B33)-C33/60)*3600,0)</f>
        <v>57</v>
      </c>
      <c r="E33" s="88" t="str">
        <f>F33</f>
        <v>216</v>
      </c>
      <c r="F33" s="88" t="str">
        <f>I33+J33/60+K33/3600-(H33+G33)/3600</f>
        <v>216</v>
      </c>
      <c r="G33" s="89" t="str">
        <f>ROUND(((B31+C31/60+D31/3600)-(B35+C35/60+D35/3600))/2*3600,0)</f>
        <v>-3</v>
      </c>
      <c r="H33" s="89" t="str">
        <f>H29</f>
        <v>1</v>
      </c>
      <c r="I33" s="88" t="str">
        <f>TRVS!B14</f>
        <v>215</v>
      </c>
      <c r="J33" s="88" t="str">
        <f>TRVS!C14</f>
        <v>42</v>
      </c>
      <c r="K33" s="88" t="str">
        <f>TRVS!D14</f>
        <v>55</v>
      </c>
      <c r="L33" s="87" t="str">
        <f>L28</f>
        <v>CM2</v>
      </c>
      <c r="M33" s="91" t="str">
        <f>TRVS!L14</f>
        <v>8.731</v>
      </c>
      <c r="N33" s="87" t="str">
        <f>A33</f>
        <v>CM3</v>
      </c>
      <c r="O33" s="90" t="str">
        <f>M33/$M$6</f>
        <v>8.736</v>
      </c>
    </row>
    <row r="34" ht="12.75" customHeight="1">
      <c r="A34" s="87"/>
      <c r="B34" s="87" t="str">
        <f t="shared" si="21"/>
        <v>35</v>
      </c>
      <c r="C34" s="87" t="str">
        <f t="shared" si="22"/>
        <v>42</v>
      </c>
      <c r="D34" s="88" t="str">
        <f t="shared" si="23"/>
        <v>50</v>
      </c>
      <c r="E34" s="88" t="str">
        <f>E33-(B35+C35/60+D35/3600)</f>
        <v>36</v>
      </c>
      <c r="F34" s="88" t="str">
        <f>IF(E34&gt;0,E34,E34+360)</f>
        <v>36</v>
      </c>
      <c r="G34" s="89"/>
      <c r="H34" s="89"/>
      <c r="I34" s="87"/>
      <c r="J34" s="87"/>
      <c r="K34" s="87"/>
      <c r="L34" s="87"/>
      <c r="M34" s="91"/>
      <c r="N34" s="87"/>
      <c r="O34" s="90"/>
    </row>
    <row r="35" ht="12.75" customHeight="1">
      <c r="A35" s="87"/>
      <c r="B35" s="87">
        <v>180.0</v>
      </c>
      <c r="C35" s="87">
        <v>0.0</v>
      </c>
      <c r="D35" s="88">
        <v>7.0</v>
      </c>
      <c r="E35" s="87"/>
      <c r="F35" s="87"/>
      <c r="G35" s="89"/>
      <c r="H35" s="89"/>
      <c r="I35" s="87"/>
      <c r="J35" s="87"/>
      <c r="K35" s="87"/>
      <c r="L35" s="87"/>
      <c r="M35" s="91"/>
      <c r="N35" s="87"/>
      <c r="O35" s="90"/>
    </row>
    <row r="36" ht="12.75" customHeight="1">
      <c r="A36" s="87"/>
      <c r="B36" s="87"/>
      <c r="C36" s="87"/>
      <c r="D36" s="88"/>
      <c r="E36" s="87"/>
      <c r="F36" s="87"/>
      <c r="G36" s="89"/>
      <c r="H36" s="89"/>
      <c r="I36" s="87"/>
      <c r="J36" s="87"/>
      <c r="K36" s="87" t="s">
        <v>129</v>
      </c>
      <c r="L36" s="87" t="str">
        <f>A33</f>
        <v>CM3</v>
      </c>
      <c r="M36" s="91"/>
      <c r="N36" s="87"/>
      <c r="O36" s="90"/>
    </row>
    <row r="37" ht="12.75" customHeight="1">
      <c r="A37" s="87" t="str">
        <f>L28</f>
        <v>CM2</v>
      </c>
      <c r="B37" s="87" t="str">
        <f t="shared" ref="B37:B38" si="25">TRUNC(F37,0)</f>
        <v>35</v>
      </c>
      <c r="C37" s="87" t="str">
        <f t="shared" ref="C37:C38" si="26">TRUNC((F37-B37)*60,0)</f>
        <v>42</v>
      </c>
      <c r="D37" s="88" t="str">
        <f t="shared" ref="D37:D38" si="27">ROUND(((F37-B37)-C37/60)*3600,0)</f>
        <v>56</v>
      </c>
      <c r="E37" s="88" t="str">
        <f>F37</f>
        <v>36</v>
      </c>
      <c r="F37" s="88" t="str">
        <f>I37+J37/60+K37/3600-(H37+G37)/3600</f>
        <v>36</v>
      </c>
      <c r="G37" s="89"/>
      <c r="H37" s="89">
        <v>-1.0</v>
      </c>
      <c r="I37" s="88" t="str">
        <f>IF(I33&lt;180,I33+180,I33-180)</f>
        <v>35</v>
      </c>
      <c r="J37" s="88" t="str">
        <f t="shared" ref="J37:K37" si="24">J33</f>
        <v>42</v>
      </c>
      <c r="K37" s="88" t="str">
        <f t="shared" si="24"/>
        <v>55</v>
      </c>
      <c r="L37" s="87"/>
      <c r="M37" s="91"/>
      <c r="N37" s="87"/>
      <c r="O37" s="90"/>
    </row>
    <row r="38" ht="12.75" customHeight="1">
      <c r="A38" s="87"/>
      <c r="B38" s="87" t="str">
        <f t="shared" si="25"/>
        <v>215</v>
      </c>
      <c r="C38" s="87" t="str">
        <f t="shared" si="26"/>
        <v>42</v>
      </c>
      <c r="D38" s="88" t="str">
        <f t="shared" si="27"/>
        <v>54</v>
      </c>
      <c r="E38" s="88" t="str">
        <f>E37-(B39+C39/60+D39/3600)</f>
        <v>-144</v>
      </c>
      <c r="F38" s="88" t="str">
        <f>IF(E38&gt;0,E38,E38+360)</f>
        <v>216</v>
      </c>
      <c r="G38" s="89"/>
      <c r="H38" s="89"/>
      <c r="I38" s="87"/>
      <c r="J38" s="87"/>
      <c r="K38" s="87"/>
      <c r="L38" s="87"/>
      <c r="M38" s="91"/>
      <c r="N38" s="87"/>
      <c r="O38" s="90"/>
    </row>
    <row r="39" ht="12.75" customHeight="1">
      <c r="A39" s="87"/>
      <c r="B39" s="87">
        <v>180.0</v>
      </c>
      <c r="C39" s="87">
        <v>0.0</v>
      </c>
      <c r="D39" s="88">
        <v>2.0</v>
      </c>
      <c r="E39" s="87"/>
      <c r="F39" s="87"/>
      <c r="G39" s="89"/>
      <c r="H39" s="89"/>
      <c r="I39" s="87"/>
      <c r="J39" s="87"/>
      <c r="K39" s="87"/>
      <c r="L39" s="87"/>
      <c r="M39" s="91"/>
      <c r="N39" s="87"/>
      <c r="O39" s="90"/>
    </row>
    <row r="40" ht="12.75" customHeight="1">
      <c r="A40" s="87"/>
      <c r="B40" s="87"/>
      <c r="C40" s="87"/>
      <c r="D40" s="88"/>
      <c r="E40" s="87"/>
      <c r="F40" s="87"/>
      <c r="G40" s="89"/>
      <c r="H40" s="89"/>
      <c r="I40" s="87"/>
      <c r="J40" s="87"/>
      <c r="K40" s="87"/>
      <c r="L40" s="87"/>
      <c r="M40" s="91"/>
      <c r="N40" s="87"/>
      <c r="O40" s="90"/>
    </row>
    <row r="41" ht="12.75" customHeight="1">
      <c r="A41" s="87" t="str">
        <f>TRVS!A15</f>
        <v>CM4</v>
      </c>
      <c r="B41" s="87" t="str">
        <f t="shared" ref="B41:B42" si="28">TRUNC(F41,0)</f>
        <v>144</v>
      </c>
      <c r="C41" s="87" t="str">
        <f t="shared" ref="C41:C42" si="29">TRUNC((F41-B41)*60,0)</f>
        <v>20</v>
      </c>
      <c r="D41" s="88" t="str">
        <f t="shared" ref="D41:D42" si="30">ROUND(((F41-B41)-C41/60)*3600,0)</f>
        <v>9</v>
      </c>
      <c r="E41" s="88" t="str">
        <f>F41</f>
        <v>144</v>
      </c>
      <c r="F41" s="88" t="str">
        <f>I41+J41/60+K41/3600-(H41+G41)/3600</f>
        <v>144</v>
      </c>
      <c r="G41" s="89" t="str">
        <f>ROUND(((B39+C39/60+D39/3600)-(B43+C43/60+D43/3600))/2*3600,0)</f>
        <v>2</v>
      </c>
      <c r="H41" s="89" t="str">
        <f>H37</f>
        <v>-1</v>
      </c>
      <c r="I41" s="88" t="str">
        <f>TRVS!B15</f>
        <v>144</v>
      </c>
      <c r="J41" s="88" t="str">
        <f>TRVS!C15</f>
        <v>20</v>
      </c>
      <c r="K41" s="88" t="str">
        <f>TRVS!D15</f>
        <v>10</v>
      </c>
      <c r="L41" s="87" t="str">
        <f>L36</f>
        <v>CM3</v>
      </c>
      <c r="M41" s="91" t="str">
        <f>TRVS!L15</f>
        <v>46.551</v>
      </c>
      <c r="N41" s="87" t="str">
        <f>A41</f>
        <v>CM4</v>
      </c>
      <c r="O41" s="90" t="str">
        <f>M41/$M$6</f>
        <v>46.577</v>
      </c>
    </row>
    <row r="42" ht="12.75" customHeight="1">
      <c r="A42" s="87"/>
      <c r="B42" s="87" t="str">
        <f t="shared" si="28"/>
        <v>324</v>
      </c>
      <c r="C42" s="87" t="str">
        <f t="shared" si="29"/>
        <v>20</v>
      </c>
      <c r="D42" s="88" t="str">
        <f t="shared" si="30"/>
        <v>11</v>
      </c>
      <c r="E42" s="88" t="str">
        <f>E41-(B43+C43/60+D43/3600)</f>
        <v>-36</v>
      </c>
      <c r="F42" s="88" t="str">
        <f>IF(E42&gt;0,E42,E42+360)</f>
        <v>324</v>
      </c>
      <c r="G42" s="89"/>
      <c r="H42" s="89"/>
      <c r="I42" s="87"/>
      <c r="J42" s="87"/>
      <c r="K42" s="87"/>
      <c r="L42" s="87"/>
      <c r="M42" s="91"/>
      <c r="N42" s="87"/>
      <c r="O42" s="90"/>
    </row>
    <row r="43" ht="12.75" customHeight="1">
      <c r="A43" s="87"/>
      <c r="B43" s="87">
        <v>179.0</v>
      </c>
      <c r="C43" s="87">
        <v>59.0</v>
      </c>
      <c r="D43" s="88">
        <v>58.0</v>
      </c>
      <c r="E43" s="87"/>
      <c r="F43" s="87"/>
      <c r="G43" s="89"/>
      <c r="H43" s="89"/>
      <c r="I43" s="87"/>
      <c r="J43" s="87"/>
      <c r="K43" s="87"/>
      <c r="L43" s="87"/>
      <c r="M43" s="91"/>
      <c r="N43" s="87"/>
      <c r="O43" s="90"/>
    </row>
    <row r="44" ht="12.75" customHeight="1">
      <c r="A44" s="87"/>
      <c r="B44" s="87"/>
      <c r="C44" s="87"/>
      <c r="D44" s="88"/>
      <c r="E44" s="87"/>
      <c r="F44" s="87"/>
      <c r="G44" s="89"/>
      <c r="H44" s="89"/>
      <c r="I44" s="87"/>
      <c r="J44" s="87"/>
      <c r="K44" s="87" t="s">
        <v>129</v>
      </c>
      <c r="L44" s="87" t="str">
        <f>A41</f>
        <v>CM4</v>
      </c>
      <c r="M44" s="91"/>
      <c r="N44" s="87"/>
      <c r="O44" s="90"/>
    </row>
    <row r="45" ht="12.75" customHeight="1">
      <c r="A45" s="87" t="str">
        <f>L36</f>
        <v>CM3</v>
      </c>
      <c r="B45" s="87" t="str">
        <f t="shared" ref="B45:B46" si="32">TRUNC(F45,0)</f>
        <v>324</v>
      </c>
      <c r="C45" s="87" t="str">
        <f t="shared" ref="C45:C46" si="33">TRUNC((F45-B45)*60,0)</f>
        <v>20</v>
      </c>
      <c r="D45" s="88" t="str">
        <f t="shared" ref="D45:D46" si="34">ROUND(((F45-B45)-C45/60)*3600,0)</f>
        <v>11</v>
      </c>
      <c r="E45" s="88" t="str">
        <f>F45</f>
        <v>324</v>
      </c>
      <c r="F45" s="88" t="str">
        <f>I45+J45/60+K45/3600-(H45+G45)/3600</f>
        <v>324</v>
      </c>
      <c r="G45" s="89"/>
      <c r="H45" s="89">
        <v>-1.0</v>
      </c>
      <c r="I45" s="88" t="str">
        <f>IF(I41&lt;180,I41+180,I41-180)</f>
        <v>324</v>
      </c>
      <c r="J45" s="88" t="str">
        <f t="shared" ref="J45:K45" si="31">J41</f>
        <v>20</v>
      </c>
      <c r="K45" s="88" t="str">
        <f t="shared" si="31"/>
        <v>10</v>
      </c>
      <c r="L45" s="87"/>
      <c r="M45" s="91"/>
      <c r="N45" s="87"/>
      <c r="O45" s="90"/>
    </row>
    <row r="46" ht="12.75" customHeight="1">
      <c r="A46" s="87"/>
      <c r="B46" s="87" t="str">
        <f t="shared" si="32"/>
        <v>144</v>
      </c>
      <c r="C46" s="87" t="str">
        <f t="shared" si="33"/>
        <v>20</v>
      </c>
      <c r="D46" s="88" t="str">
        <f t="shared" si="34"/>
        <v>10</v>
      </c>
      <c r="E46" s="88" t="str">
        <f>E45-(B47+C47/60+D47/3600)</f>
        <v>144</v>
      </c>
      <c r="F46" s="88" t="str">
        <f>IF(E46&gt;0,E46,E46+360)</f>
        <v>144</v>
      </c>
      <c r="G46" s="89"/>
      <c r="H46" s="89"/>
      <c r="I46" s="87"/>
      <c r="J46" s="87"/>
      <c r="K46" s="87"/>
      <c r="L46" s="87"/>
      <c r="M46" s="91"/>
      <c r="N46" s="87"/>
      <c r="O46" s="90"/>
    </row>
    <row r="47" ht="12.75" customHeight="1">
      <c r="A47" s="87"/>
      <c r="B47" s="87">
        <v>180.0</v>
      </c>
      <c r="C47" s="87">
        <v>0.0</v>
      </c>
      <c r="D47" s="88">
        <v>1.0</v>
      </c>
      <c r="E47" s="87"/>
      <c r="F47" s="87"/>
      <c r="G47" s="89"/>
      <c r="H47" s="89"/>
      <c r="I47" s="87"/>
      <c r="J47" s="87"/>
      <c r="K47" s="87"/>
      <c r="L47" s="87"/>
      <c r="M47" s="91"/>
      <c r="N47" s="87"/>
      <c r="O47" s="90"/>
    </row>
    <row r="48" ht="12.75" customHeight="1">
      <c r="A48" s="87"/>
      <c r="B48" s="87"/>
      <c r="C48" s="87"/>
      <c r="D48" s="88"/>
      <c r="E48" s="87"/>
      <c r="F48" s="87"/>
      <c r="G48" s="89"/>
      <c r="H48" s="89"/>
      <c r="I48" s="87"/>
      <c r="J48" s="87"/>
      <c r="K48" s="87"/>
      <c r="L48" s="87"/>
      <c r="M48" s="91"/>
      <c r="N48" s="87"/>
      <c r="O48" s="90"/>
    </row>
    <row r="49" ht="12.75" customHeight="1">
      <c r="A49" s="87" t="str">
        <f>TRVS!A16</f>
        <v>CM5</v>
      </c>
      <c r="B49" s="87" t="str">
        <f t="shared" ref="B49:B50" si="35">TRUNC(F49,0)</f>
        <v>139</v>
      </c>
      <c r="C49" s="87" t="str">
        <f t="shared" ref="C49:C50" si="36">TRUNC((F49-B49)*60,0)</f>
        <v>18</v>
      </c>
      <c r="D49" s="88" t="str">
        <f t="shared" ref="D49:D50" si="37">ROUND(((F49-B49)-C49/60)*3600,0)</f>
        <v>6</v>
      </c>
      <c r="E49" s="88" t="str">
        <f>F49</f>
        <v>139</v>
      </c>
      <c r="F49" s="88" t="str">
        <f>I49+J49/60+K49/3600-(H49+G49)/3600</f>
        <v>139</v>
      </c>
      <c r="G49" s="89" t="str">
        <f>ROUND(((B47+C47/60+D47/3600)-(B51+C51/60+D51/3600))/2*3600,0)</f>
        <v>1</v>
      </c>
      <c r="H49" s="89" t="str">
        <f>H45</f>
        <v>-1</v>
      </c>
      <c r="I49" s="88" t="str">
        <f>TRVS!B16</f>
        <v>139</v>
      </c>
      <c r="J49" s="88" t="str">
        <f>TRVS!C16</f>
        <v>18</v>
      </c>
      <c r="K49" s="88" t="str">
        <f>TRVS!D16</f>
        <v>6</v>
      </c>
      <c r="L49" s="87" t="str">
        <f>L44</f>
        <v>CM4</v>
      </c>
      <c r="M49" s="91" t="str">
        <f>TRVS!L16</f>
        <v>10.093</v>
      </c>
      <c r="N49" s="87" t="str">
        <f>A49</f>
        <v>CM5</v>
      </c>
      <c r="O49" s="90" t="str">
        <f>M49/$M$6</f>
        <v>10.098</v>
      </c>
    </row>
    <row r="50" ht="12.75" customHeight="1">
      <c r="A50" s="87"/>
      <c r="B50" s="87" t="str">
        <f t="shared" si="35"/>
        <v>319</v>
      </c>
      <c r="C50" s="87" t="str">
        <f t="shared" si="36"/>
        <v>18</v>
      </c>
      <c r="D50" s="88" t="str">
        <f t="shared" si="37"/>
        <v>7</v>
      </c>
      <c r="E50" s="88" t="str">
        <f>E49-(B51+C51/60+D51/3600)</f>
        <v>-41</v>
      </c>
      <c r="F50" s="88" t="str">
        <f>IF(E50&gt;0,E50,E50+360)</f>
        <v>319</v>
      </c>
      <c r="G50" s="89"/>
      <c r="H50" s="89"/>
      <c r="I50" s="87"/>
      <c r="J50" s="87"/>
      <c r="K50" s="87"/>
      <c r="L50" s="87"/>
      <c r="M50" s="91"/>
      <c r="N50" s="87"/>
      <c r="O50" s="90"/>
    </row>
    <row r="51" ht="12.75" customHeight="1">
      <c r="A51" s="87"/>
      <c r="B51" s="87">
        <v>179.0</v>
      </c>
      <c r="C51" s="87">
        <v>59.0</v>
      </c>
      <c r="D51" s="88">
        <v>59.0</v>
      </c>
      <c r="E51" s="87"/>
      <c r="F51" s="87"/>
      <c r="G51" s="89"/>
      <c r="H51" s="89"/>
      <c r="I51" s="87"/>
      <c r="J51" s="87"/>
      <c r="K51" s="87"/>
      <c r="L51" s="87"/>
      <c r="M51" s="91"/>
      <c r="N51" s="87"/>
      <c r="O51" s="90"/>
    </row>
    <row r="52" ht="12.75" customHeight="1">
      <c r="A52" s="87"/>
      <c r="B52" s="87"/>
      <c r="C52" s="87"/>
      <c r="D52" s="88"/>
      <c r="E52" s="87"/>
      <c r="F52" s="87"/>
      <c r="G52" s="89"/>
      <c r="H52" s="89"/>
      <c r="I52" s="87"/>
      <c r="J52" s="87"/>
      <c r="K52" s="87" t="s">
        <v>129</v>
      </c>
      <c r="L52" s="87" t="str">
        <f>A49</f>
        <v>CM5</v>
      </c>
      <c r="M52" s="91"/>
      <c r="N52" s="87"/>
      <c r="O52" s="90"/>
    </row>
    <row r="53" ht="12.75" customHeight="1">
      <c r="A53" s="87" t="str">
        <f>L44</f>
        <v>CM4</v>
      </c>
      <c r="B53" s="87" t="str">
        <f t="shared" ref="B53:B54" si="39">TRUNC(F53,0)</f>
        <v>319</v>
      </c>
      <c r="C53" s="87" t="str">
        <f t="shared" ref="C53:C54" si="40">TRUNC((F53-B53)*60,0)</f>
        <v>18</v>
      </c>
      <c r="D53" s="88" t="str">
        <f t="shared" ref="D53:D54" si="41">ROUND(((F53-B53)-C53/60)*3600,0)</f>
        <v>6</v>
      </c>
      <c r="E53" s="88" t="str">
        <f>F53</f>
        <v>319</v>
      </c>
      <c r="F53" s="88" t="str">
        <f>I53+J53/60+K53/3600-(H53+G53)/3600</f>
        <v>319</v>
      </c>
      <c r="G53" s="89"/>
      <c r="H53" s="89">
        <v>0.0</v>
      </c>
      <c r="I53" s="88" t="str">
        <f>IF(I49&lt;180,I49+180,I49-180)</f>
        <v>319</v>
      </c>
      <c r="J53" s="88" t="str">
        <f t="shared" ref="J53:K53" si="38">J49</f>
        <v>18</v>
      </c>
      <c r="K53" s="88" t="str">
        <f t="shared" si="38"/>
        <v>6</v>
      </c>
      <c r="L53" s="87"/>
      <c r="M53" s="91"/>
      <c r="N53" s="87"/>
      <c r="O53" s="90"/>
    </row>
    <row r="54" ht="12.75" customHeight="1">
      <c r="A54" s="87"/>
      <c r="B54" s="87" t="str">
        <f t="shared" si="39"/>
        <v>139</v>
      </c>
      <c r="C54" s="87" t="str">
        <f t="shared" si="40"/>
        <v>18</v>
      </c>
      <c r="D54" s="88" t="str">
        <f t="shared" si="41"/>
        <v>1</v>
      </c>
      <c r="E54" s="88" t="str">
        <f>E53-(B55+C55/60+D55/3600)</f>
        <v>139</v>
      </c>
      <c r="F54" s="88" t="str">
        <f>IF(E54&gt;0,E54,E54+360)</f>
        <v>139</v>
      </c>
      <c r="G54" s="89"/>
      <c r="H54" s="89"/>
      <c r="I54" s="87"/>
      <c r="J54" s="87"/>
      <c r="K54" s="87"/>
      <c r="L54" s="87"/>
      <c r="M54" s="91"/>
      <c r="N54" s="87"/>
      <c r="O54" s="90"/>
    </row>
    <row r="55" ht="12.75" customHeight="1">
      <c r="A55" s="87"/>
      <c r="B55" s="87">
        <v>180.0</v>
      </c>
      <c r="C55" s="87">
        <v>0.0</v>
      </c>
      <c r="D55" s="88">
        <v>5.0</v>
      </c>
      <c r="E55" s="87"/>
      <c r="F55" s="87"/>
      <c r="G55" s="89"/>
      <c r="H55" s="89"/>
      <c r="I55" s="87"/>
      <c r="J55" s="87"/>
      <c r="K55" s="87"/>
      <c r="L55" s="87"/>
      <c r="M55" s="91"/>
      <c r="N55" s="87"/>
      <c r="O55" s="90"/>
    </row>
    <row r="56" ht="12.75" customHeight="1">
      <c r="A56" s="87"/>
      <c r="B56" s="87"/>
      <c r="C56" s="87"/>
      <c r="D56" s="88"/>
      <c r="E56" s="87"/>
      <c r="F56" s="87"/>
      <c r="G56" s="89"/>
      <c r="H56" s="89"/>
      <c r="I56" s="87"/>
      <c r="J56" s="87"/>
      <c r="K56" s="87"/>
      <c r="L56" s="87"/>
      <c r="M56" s="91"/>
      <c r="N56" s="87"/>
      <c r="O56" s="90"/>
    </row>
    <row r="57" ht="12.75" customHeight="1">
      <c r="A57" s="87" t="str">
        <f>TRVS!A17</f>
        <v>CM6</v>
      </c>
      <c r="B57" s="87" t="str">
        <f t="shared" ref="B57:B58" si="42">TRUNC(F57,0)</f>
        <v>229</v>
      </c>
      <c r="C57" s="87" t="str">
        <f t="shared" ref="C57:C58" si="43">TRUNC((F57-B57)*60,0)</f>
        <v>58</v>
      </c>
      <c r="D57" s="88" t="str">
        <f t="shared" ref="D57:D58" si="44">ROUND(((F57-B57)-C57/60)*3600,0)</f>
        <v>26</v>
      </c>
      <c r="E57" s="88" t="str">
        <f>F57</f>
        <v>230</v>
      </c>
      <c r="F57" s="88" t="str">
        <f>I57+J57/60+K57/3600-(H57+G57)/3600</f>
        <v>230</v>
      </c>
      <c r="G57" s="89" t="str">
        <f>ROUND(((B55+C55/60+D55/3600)-(B59+C59/60+D59/3600))/2*3600,0)</f>
        <v>3</v>
      </c>
      <c r="H57" s="89" t="str">
        <f>H53</f>
        <v>0</v>
      </c>
      <c r="I57" s="88" t="str">
        <f>TRVS!B17</f>
        <v>229</v>
      </c>
      <c r="J57" s="88" t="str">
        <f>TRVS!C17</f>
        <v>58</v>
      </c>
      <c r="K57" s="88" t="str">
        <f>TRVS!D17</f>
        <v>29</v>
      </c>
      <c r="L57" s="87" t="str">
        <f>L52</f>
        <v>CM5</v>
      </c>
      <c r="M57" s="91" t="str">
        <f>TRVS!L17</f>
        <v>14.761</v>
      </c>
      <c r="N57" s="87" t="str">
        <f>A57</f>
        <v>CM6</v>
      </c>
      <c r="O57" s="90" t="str">
        <f>M57/$M$6</f>
        <v>14.770</v>
      </c>
    </row>
    <row r="58" ht="12.75" customHeight="1">
      <c r="A58" s="87"/>
      <c r="B58" s="87" t="str">
        <f t="shared" si="42"/>
        <v>49</v>
      </c>
      <c r="C58" s="87" t="str">
        <f t="shared" si="43"/>
        <v>58</v>
      </c>
      <c r="D58" s="88" t="str">
        <f t="shared" si="44"/>
        <v>27</v>
      </c>
      <c r="E58" s="88" t="str">
        <f>E57-(B59+C59/60+D59/3600)</f>
        <v>50</v>
      </c>
      <c r="F58" s="88" t="str">
        <f>IF(E58&gt;0,E58,E58+360)</f>
        <v>50</v>
      </c>
      <c r="G58" s="89"/>
      <c r="H58" s="89"/>
      <c r="I58" s="87"/>
      <c r="J58" s="87"/>
      <c r="K58" s="87"/>
      <c r="L58" s="87"/>
      <c r="M58" s="91"/>
      <c r="N58" s="87"/>
      <c r="O58" s="90"/>
    </row>
    <row r="59" ht="12.75" customHeight="1">
      <c r="A59" s="87"/>
      <c r="B59" s="87">
        <v>179.0</v>
      </c>
      <c r="C59" s="87">
        <v>59.0</v>
      </c>
      <c r="D59" s="88">
        <v>59.0</v>
      </c>
      <c r="E59" s="87"/>
      <c r="F59" s="87"/>
      <c r="G59" s="89"/>
      <c r="H59" s="89"/>
      <c r="I59" s="87"/>
      <c r="J59" s="87"/>
      <c r="K59" s="87"/>
      <c r="L59" s="87"/>
      <c r="M59" s="91"/>
      <c r="N59" s="87"/>
      <c r="O59" s="90"/>
    </row>
    <row r="60" ht="12.75" customHeight="1">
      <c r="A60" s="87"/>
      <c r="B60" s="87"/>
      <c r="C60" s="87"/>
      <c r="D60" s="88"/>
      <c r="E60" s="87"/>
      <c r="F60" s="87"/>
      <c r="G60" s="89"/>
      <c r="H60" s="89"/>
      <c r="I60" s="87"/>
      <c r="J60" s="87"/>
      <c r="K60" s="87" t="s">
        <v>129</v>
      </c>
      <c r="L60" s="87" t="str">
        <f>A57</f>
        <v>CM6</v>
      </c>
      <c r="M60" s="91"/>
      <c r="N60" s="87"/>
      <c r="O60" s="90"/>
    </row>
    <row r="61" ht="12.75" customHeight="1">
      <c r="A61" s="87" t="str">
        <f>L52</f>
        <v>CM5</v>
      </c>
      <c r="B61" s="87" t="str">
        <f t="shared" ref="B61:B62" si="46">TRUNC(F61,0)</f>
        <v>49</v>
      </c>
      <c r="C61" s="87" t="str">
        <f t="shared" ref="C61:C62" si="47">TRUNC((F61-B61)*60,0)</f>
        <v>58</v>
      </c>
      <c r="D61" s="88" t="str">
        <f t="shared" ref="D61:D62" si="48">ROUND(((F61-B61)-C61/60)*3600,0)</f>
        <v>28</v>
      </c>
      <c r="E61" s="88" t="str">
        <f>F61</f>
        <v>50</v>
      </c>
      <c r="F61" s="88" t="str">
        <f>I61+J61/60+K61/3600-(H61+G61)/3600</f>
        <v>50</v>
      </c>
      <c r="G61" s="89"/>
      <c r="H61" s="89">
        <v>1.0</v>
      </c>
      <c r="I61" s="88" t="str">
        <f>IF(I57&lt;180,I57+180,I57-180)</f>
        <v>49</v>
      </c>
      <c r="J61" s="88" t="str">
        <f t="shared" ref="J61:K61" si="45">J57</f>
        <v>58</v>
      </c>
      <c r="K61" s="88" t="str">
        <f t="shared" si="45"/>
        <v>29</v>
      </c>
      <c r="L61" s="87"/>
      <c r="M61" s="91"/>
      <c r="N61" s="87"/>
      <c r="O61" s="90"/>
    </row>
    <row r="62" ht="12.75" customHeight="1">
      <c r="A62" s="87"/>
      <c r="B62" s="87" t="str">
        <f t="shared" si="46"/>
        <v>229</v>
      </c>
      <c r="C62" s="87" t="str">
        <f t="shared" si="47"/>
        <v>58</v>
      </c>
      <c r="D62" s="88" t="str">
        <f t="shared" si="48"/>
        <v>27</v>
      </c>
      <c r="E62" s="88" t="str">
        <f>E61-(B63+C63/60+D63/3600)</f>
        <v>-130</v>
      </c>
      <c r="F62" s="88" t="str">
        <f>IF(E62&gt;0,E62,E62+360)</f>
        <v>230</v>
      </c>
      <c r="G62" s="89"/>
      <c r="H62" s="89"/>
      <c r="I62" s="87"/>
      <c r="J62" s="87"/>
      <c r="K62" s="87"/>
      <c r="L62" s="87"/>
      <c r="M62" s="91"/>
      <c r="N62" s="87"/>
      <c r="O62" s="90"/>
    </row>
    <row r="63" ht="12.75" customHeight="1">
      <c r="A63" s="87"/>
      <c r="B63" s="87">
        <v>180.0</v>
      </c>
      <c r="C63" s="87">
        <v>0.0</v>
      </c>
      <c r="D63" s="88">
        <v>1.0</v>
      </c>
      <c r="E63" s="87"/>
      <c r="F63" s="87"/>
      <c r="G63" s="89"/>
      <c r="H63" s="89"/>
      <c r="I63" s="87"/>
      <c r="J63" s="87"/>
      <c r="K63" s="87"/>
      <c r="L63" s="87"/>
      <c r="M63" s="91"/>
      <c r="N63" s="87"/>
      <c r="O63" s="90"/>
    </row>
    <row r="64" ht="12.75" customHeight="1">
      <c r="A64" s="87"/>
      <c r="B64" s="87"/>
      <c r="C64" s="87"/>
      <c r="D64" s="88"/>
      <c r="E64" s="87"/>
      <c r="F64" s="87"/>
      <c r="G64" s="89"/>
      <c r="H64" s="89"/>
      <c r="I64" s="87"/>
      <c r="J64" s="87"/>
      <c r="K64" s="87"/>
      <c r="L64" s="87"/>
      <c r="M64" s="91"/>
      <c r="N64" s="87"/>
      <c r="O64" s="90"/>
    </row>
    <row r="65" ht="12.75" customHeight="1">
      <c r="A65" s="87" t="str">
        <f>TRVS!A18</f>
        <v>CM7</v>
      </c>
      <c r="B65" s="87" t="str">
        <f t="shared" ref="B65:B66" si="49">TRUNC(F65,0)</f>
        <v>207</v>
      </c>
      <c r="C65" s="87" t="str">
        <f t="shared" ref="C65:C66" si="50">TRUNC((F65-B65)*60,0)</f>
        <v>16</v>
      </c>
      <c r="D65" s="88" t="str">
        <f t="shared" ref="D65:D66" si="51">ROUND(((F65-B65)-C65/60)*3600,0)</f>
        <v>38</v>
      </c>
      <c r="E65" s="88" t="str">
        <f>F65</f>
        <v>207</v>
      </c>
      <c r="F65" s="88" t="str">
        <f>I65+J65/60+K65/3600-(H65+G65)/3600</f>
        <v>207</v>
      </c>
      <c r="G65" s="89" t="str">
        <f>ROUND(((B63+C63/60+D63/3600)-(B67+C67/60+D67/3600))/2*3600,0)</f>
        <v>1</v>
      </c>
      <c r="H65" s="89" t="str">
        <f>H61</f>
        <v>1</v>
      </c>
      <c r="I65" s="88" t="str">
        <f>TRVS!B18</f>
        <v>207</v>
      </c>
      <c r="J65" s="88" t="str">
        <f>TRVS!C18</f>
        <v>16</v>
      </c>
      <c r="K65" s="88" t="str">
        <f>TRVS!D18</f>
        <v>40</v>
      </c>
      <c r="L65" s="87" t="str">
        <f>L60</f>
        <v>CM6</v>
      </c>
      <c r="M65" s="91" t="str">
        <f>TRVS!L18</f>
        <v>18.637</v>
      </c>
      <c r="N65" s="87" t="str">
        <f>A65</f>
        <v>CM7</v>
      </c>
      <c r="O65" s="90" t="str">
        <f>M65/$M$6</f>
        <v>18.647</v>
      </c>
    </row>
    <row r="66" ht="12.75" customHeight="1">
      <c r="A66" s="87"/>
      <c r="B66" s="87" t="str">
        <f t="shared" si="49"/>
        <v>27</v>
      </c>
      <c r="C66" s="87" t="str">
        <f t="shared" si="50"/>
        <v>16</v>
      </c>
      <c r="D66" s="88" t="str">
        <f t="shared" si="51"/>
        <v>40</v>
      </c>
      <c r="E66" s="88" t="str">
        <f>E65-(B67+C67/60+D67/3600)</f>
        <v>27</v>
      </c>
      <c r="F66" s="88" t="str">
        <f>IF(E66&gt;0,E66,E66+360)</f>
        <v>27</v>
      </c>
      <c r="G66" s="89"/>
      <c r="H66" s="89"/>
      <c r="I66" s="87"/>
      <c r="J66" s="87"/>
      <c r="K66" s="87"/>
      <c r="L66" s="87"/>
      <c r="M66" s="91"/>
      <c r="N66" s="87"/>
      <c r="O66" s="90"/>
    </row>
    <row r="67" ht="12.75" customHeight="1">
      <c r="A67" s="87"/>
      <c r="B67" s="87">
        <v>179.0</v>
      </c>
      <c r="C67" s="87">
        <v>59.0</v>
      </c>
      <c r="D67" s="88">
        <v>58.0</v>
      </c>
      <c r="E67" s="87"/>
      <c r="F67" s="87"/>
      <c r="G67" s="89"/>
      <c r="H67" s="89"/>
      <c r="I67" s="87"/>
      <c r="J67" s="87"/>
      <c r="K67" s="87"/>
      <c r="L67" s="87"/>
      <c r="M67" s="91"/>
      <c r="N67" s="87"/>
      <c r="O67" s="90"/>
    </row>
    <row r="68" ht="12.75" customHeight="1">
      <c r="A68" s="87"/>
      <c r="B68" s="87"/>
      <c r="C68" s="87"/>
      <c r="D68" s="88"/>
      <c r="E68" s="87"/>
      <c r="F68" s="87"/>
      <c r="G68" s="89"/>
      <c r="H68" s="89"/>
      <c r="I68" s="87"/>
      <c r="J68" s="87"/>
      <c r="K68" s="87" t="s">
        <v>129</v>
      </c>
      <c r="L68" s="87" t="str">
        <f>A65</f>
        <v>CM7</v>
      </c>
      <c r="M68" s="91"/>
      <c r="N68" s="87"/>
      <c r="O68" s="90"/>
    </row>
    <row r="69" ht="12.75" customHeight="1">
      <c r="A69" s="87" t="str">
        <f>L60</f>
        <v>CM6</v>
      </c>
      <c r="B69" s="87" t="str">
        <f t="shared" ref="B69:B70" si="53">TRUNC(F69,0)</f>
        <v>27</v>
      </c>
      <c r="C69" s="87" t="str">
        <f t="shared" ref="C69:C70" si="54">TRUNC((F69-B69)*60,0)</f>
        <v>16</v>
      </c>
      <c r="D69" s="88" t="str">
        <f t="shared" ref="D69:D70" si="55">ROUND(((F69-B69)-C69/60)*3600,0)</f>
        <v>39</v>
      </c>
      <c r="E69" s="88" t="str">
        <f>F69</f>
        <v>27</v>
      </c>
      <c r="F69" s="88" t="str">
        <f>I69+J69/60+K69/3600-(H69+G69)/3600</f>
        <v>27</v>
      </c>
      <c r="G69" s="89"/>
      <c r="H69" s="89">
        <v>1.0</v>
      </c>
      <c r="I69" s="88" t="str">
        <f>IF(I65&lt;180,I65+180,I65-180)</f>
        <v>27</v>
      </c>
      <c r="J69" s="88" t="str">
        <f t="shared" ref="J69:K69" si="52">J65</f>
        <v>16</v>
      </c>
      <c r="K69" s="88" t="str">
        <f t="shared" si="52"/>
        <v>40</v>
      </c>
      <c r="L69" s="87"/>
      <c r="M69" s="91"/>
      <c r="N69" s="87"/>
      <c r="O69" s="90"/>
    </row>
    <row r="70" ht="12.75" customHeight="1">
      <c r="A70" s="87"/>
      <c r="B70" s="87" t="str">
        <f t="shared" si="53"/>
        <v>207</v>
      </c>
      <c r="C70" s="87" t="str">
        <f t="shared" si="54"/>
        <v>16</v>
      </c>
      <c r="D70" s="88" t="str">
        <f t="shared" si="55"/>
        <v>36</v>
      </c>
      <c r="E70" s="88" t="str">
        <f>E69-(B71+C71/60+D71/3600)</f>
        <v>-153</v>
      </c>
      <c r="F70" s="88" t="str">
        <f>IF(E70&gt;0,E70,E70+360)</f>
        <v>207</v>
      </c>
      <c r="G70" s="89"/>
      <c r="H70" s="89"/>
      <c r="I70" s="87"/>
      <c r="J70" s="87"/>
      <c r="K70" s="87"/>
      <c r="L70" s="87"/>
      <c r="M70" s="91"/>
      <c r="N70" s="87"/>
      <c r="O70" s="90"/>
    </row>
    <row r="71" ht="12.75" customHeight="1">
      <c r="A71" s="87"/>
      <c r="B71" s="87">
        <v>180.0</v>
      </c>
      <c r="C71" s="87">
        <v>0.0</v>
      </c>
      <c r="D71" s="88">
        <v>3.0</v>
      </c>
      <c r="E71" s="87"/>
      <c r="F71" s="87"/>
      <c r="G71" s="89"/>
      <c r="H71" s="89"/>
      <c r="I71" s="87"/>
      <c r="J71" s="87"/>
      <c r="K71" s="87"/>
      <c r="L71" s="87"/>
      <c r="M71" s="91"/>
      <c r="N71" s="87"/>
      <c r="O71" s="90"/>
    </row>
    <row r="72" ht="12.75" customHeight="1">
      <c r="A72" s="87"/>
      <c r="B72" s="87"/>
      <c r="C72" s="87"/>
      <c r="D72" s="88"/>
      <c r="E72" s="87"/>
      <c r="F72" s="87"/>
      <c r="G72" s="89"/>
      <c r="H72" s="89"/>
      <c r="I72" s="87"/>
      <c r="J72" s="87"/>
      <c r="K72" s="87"/>
      <c r="L72" s="87"/>
      <c r="M72" s="91"/>
      <c r="N72" s="87"/>
      <c r="O72" s="90"/>
    </row>
    <row r="73" ht="12.75" customHeight="1">
      <c r="A73" s="87" t="str">
        <f>TRVS!A19</f>
        <v>CL1</v>
      </c>
      <c r="B73" s="87" t="str">
        <f t="shared" ref="B73:B74" si="56">TRUNC(F73,0)</f>
        <v>223</v>
      </c>
      <c r="C73" s="87" t="str">
        <f t="shared" ref="C73:C74" si="57">TRUNC((F73-B73)*60,0)</f>
        <v>3</v>
      </c>
      <c r="D73" s="88" t="str">
        <f t="shared" ref="D73:D74" si="58">ROUND(((F73-B73)-C73/60)*3600,0)</f>
        <v>27</v>
      </c>
      <c r="E73" s="88" t="str">
        <f>F73</f>
        <v>223</v>
      </c>
      <c r="F73" s="88" t="str">
        <f>I73+J73/60+K73/3600-(H73+G73)/3600</f>
        <v>223</v>
      </c>
      <c r="G73" s="89" t="str">
        <f>ROUND(((B71+C71/60+D71/3600)-(B75+C75/60+D75/3600))/2*3600,0)</f>
        <v>3</v>
      </c>
      <c r="H73" s="89" t="str">
        <f>H69</f>
        <v>1</v>
      </c>
      <c r="I73" s="88" t="str">
        <f>TRVS!B19</f>
        <v>223</v>
      </c>
      <c r="J73" s="88" t="str">
        <f>TRVS!C19</f>
        <v>3</v>
      </c>
      <c r="K73" s="88" t="str">
        <f>TRVS!D19</f>
        <v>31</v>
      </c>
      <c r="L73" s="87" t="str">
        <f>L68</f>
        <v>CM7</v>
      </c>
      <c r="M73" s="91" t="str">
        <f>TRVS!L19</f>
        <v>18.120</v>
      </c>
      <c r="N73" s="87" t="str">
        <f>A73</f>
        <v>CL1</v>
      </c>
      <c r="O73" s="90" t="str">
        <f>M73/$M$6</f>
        <v>18.130</v>
      </c>
    </row>
    <row r="74" ht="12.75" customHeight="1">
      <c r="A74" s="87"/>
      <c r="B74" s="87" t="str">
        <f t="shared" si="56"/>
        <v>43</v>
      </c>
      <c r="C74" s="87" t="str">
        <f t="shared" si="57"/>
        <v>3</v>
      </c>
      <c r="D74" s="88" t="str">
        <f t="shared" si="58"/>
        <v>29</v>
      </c>
      <c r="E74" s="88" t="str">
        <f>E73-(B75+C75/60+D75/3600)</f>
        <v>43</v>
      </c>
      <c r="F74" s="88" t="str">
        <f>IF(E74&gt;0,E74,E74+360)</f>
        <v>43</v>
      </c>
      <c r="G74" s="89"/>
      <c r="H74" s="89"/>
      <c r="I74" s="87"/>
      <c r="J74" s="87"/>
      <c r="K74" s="87"/>
      <c r="L74" s="87"/>
      <c r="M74" s="91"/>
      <c r="N74" s="87"/>
      <c r="O74" s="90"/>
    </row>
    <row r="75" ht="12.75" customHeight="1">
      <c r="A75" s="87"/>
      <c r="B75" s="87">
        <v>179.0</v>
      </c>
      <c r="C75" s="87">
        <v>59.0</v>
      </c>
      <c r="D75" s="88">
        <v>58.0</v>
      </c>
      <c r="E75" s="87"/>
      <c r="F75" s="87"/>
      <c r="G75" s="89"/>
      <c r="H75" s="89"/>
      <c r="I75" s="87"/>
      <c r="J75" s="87"/>
      <c r="K75" s="87"/>
      <c r="L75" s="87"/>
      <c r="M75" s="91"/>
      <c r="N75" s="87"/>
      <c r="O75" s="90"/>
    </row>
    <row r="76" ht="12.75" customHeight="1">
      <c r="A76" s="87"/>
      <c r="B76" s="87"/>
      <c r="C76" s="87"/>
      <c r="D76" s="88"/>
      <c r="E76" s="87"/>
      <c r="F76" s="87"/>
      <c r="G76" s="89"/>
      <c r="H76" s="89"/>
      <c r="I76" s="87"/>
      <c r="J76" s="87"/>
      <c r="K76" s="87" t="s">
        <v>129</v>
      </c>
      <c r="L76" s="87" t="str">
        <f>A73</f>
        <v>CL1</v>
      </c>
      <c r="M76" s="91"/>
      <c r="N76" s="87"/>
      <c r="O76" s="90"/>
    </row>
    <row r="77" ht="12.75" customHeight="1">
      <c r="A77" s="87" t="str">
        <f>L68</f>
        <v>CM7</v>
      </c>
      <c r="B77" s="87" t="str">
        <f t="shared" ref="B77:B78" si="60">TRUNC(F77,0)</f>
        <v>43</v>
      </c>
      <c r="C77" s="87" t="str">
        <f t="shared" ref="C77:C78" si="61">TRUNC((F77-B77)*60,0)</f>
        <v>3</v>
      </c>
      <c r="D77" s="88" t="str">
        <f t="shared" ref="D77:D78" si="62">ROUND(((F77-B77)-C77/60)*3600,0)</f>
        <v>30</v>
      </c>
      <c r="E77" s="88" t="str">
        <f>F77</f>
        <v>43</v>
      </c>
      <c r="F77" s="88" t="str">
        <f>I77+J77/60+K77/3600-(H77+G77)/3600</f>
        <v>43</v>
      </c>
      <c r="G77" s="89"/>
      <c r="H77" s="89">
        <v>1.0</v>
      </c>
      <c r="I77" s="88" t="str">
        <f>IF(I73&lt;180,I73+180,I73-180)</f>
        <v>43</v>
      </c>
      <c r="J77" s="88" t="str">
        <f t="shared" ref="J77:K77" si="59">J73</f>
        <v>3</v>
      </c>
      <c r="K77" s="88" t="str">
        <f t="shared" si="59"/>
        <v>31</v>
      </c>
      <c r="L77" s="87"/>
      <c r="M77" s="91"/>
      <c r="N77" s="87"/>
      <c r="O77" s="90"/>
    </row>
    <row r="78" ht="12.75" customHeight="1">
      <c r="A78" s="87"/>
      <c r="B78" s="87" t="str">
        <f t="shared" si="60"/>
        <v>223</v>
      </c>
      <c r="C78" s="87" t="str">
        <f t="shared" si="61"/>
        <v>3</v>
      </c>
      <c r="D78" s="88" t="str">
        <f t="shared" si="62"/>
        <v>28</v>
      </c>
      <c r="E78" s="88" t="str">
        <f>E77-(B79+C79/60+D79/3600)</f>
        <v>-137</v>
      </c>
      <c r="F78" s="88" t="str">
        <f>IF(E78&gt;0,E78,E78+360)</f>
        <v>223</v>
      </c>
      <c r="G78" s="89"/>
      <c r="H78" s="89"/>
      <c r="I78" s="87"/>
      <c r="J78" s="87"/>
      <c r="K78" s="87"/>
      <c r="L78" s="87"/>
      <c r="M78" s="91"/>
      <c r="N78" s="87"/>
      <c r="O78" s="90"/>
    </row>
    <row r="79" ht="12.75" customHeight="1">
      <c r="A79" s="87"/>
      <c r="B79" s="87">
        <v>180.0</v>
      </c>
      <c r="C79" s="87">
        <v>0.0</v>
      </c>
      <c r="D79" s="88">
        <v>2.0</v>
      </c>
      <c r="E79" s="87"/>
      <c r="F79" s="87"/>
      <c r="G79" s="89"/>
      <c r="H79" s="89"/>
      <c r="I79" s="87"/>
      <c r="J79" s="87"/>
      <c r="K79" s="87"/>
      <c r="L79" s="87"/>
      <c r="M79" s="91"/>
      <c r="N79" s="87"/>
      <c r="O79" s="90"/>
    </row>
    <row r="80" ht="12.75" customHeight="1">
      <c r="A80" s="87"/>
      <c r="B80" s="87"/>
      <c r="C80" s="87"/>
      <c r="D80" s="88"/>
      <c r="E80" s="87"/>
      <c r="F80" s="87"/>
      <c r="G80" s="89"/>
      <c r="H80" s="89"/>
      <c r="I80" s="87"/>
      <c r="J80" s="87"/>
      <c r="K80" s="87"/>
      <c r="L80" s="87"/>
      <c r="M80" s="91"/>
      <c r="N80" s="87"/>
      <c r="O80" s="90"/>
    </row>
    <row r="81" ht="12.75" customHeight="1">
      <c r="A81" s="87" t="str">
        <f>TRVS!A20</f>
        <v>CM8</v>
      </c>
      <c r="B81" s="87" t="str">
        <f t="shared" ref="B81:B82" si="63">TRUNC(F81,0)</f>
        <v>56</v>
      </c>
      <c r="C81" s="87" t="str">
        <f t="shared" ref="C81:C82" si="64">TRUNC((F81-B81)*60,0)</f>
        <v>50</v>
      </c>
      <c r="D81" s="88" t="str">
        <f t="shared" ref="D81:D82" si="65">ROUND(((F81-B81)-C81/60)*3600,0)</f>
        <v>48</v>
      </c>
      <c r="E81" s="88" t="str">
        <f>F81</f>
        <v>57</v>
      </c>
      <c r="F81" s="88" t="str">
        <f>I81+J81/60+K81/3600-(H81+G81)/3600</f>
        <v>57</v>
      </c>
      <c r="G81" s="89" t="str">
        <f>ROUND(((B79+C79/60+D79/3600)-(B83+C83/60+D83/3600))/2*3600,0)</f>
        <v>2</v>
      </c>
      <c r="H81" s="89" t="str">
        <f>H77</f>
        <v>1</v>
      </c>
      <c r="I81" s="88" t="str">
        <f>TRVS!B20</f>
        <v>56</v>
      </c>
      <c r="J81" s="88" t="str">
        <f>TRVS!C20</f>
        <v>50</v>
      </c>
      <c r="K81" s="88" t="str">
        <f>TRVS!D20</f>
        <v>51</v>
      </c>
      <c r="L81" s="88" t="str">
        <f>L76</f>
        <v>CL1</v>
      </c>
      <c r="M81" s="91" t="str">
        <f>TRVS!L20</f>
        <v>8.440</v>
      </c>
      <c r="N81" s="87" t="str">
        <f>A81</f>
        <v>CM8</v>
      </c>
      <c r="O81" s="90" t="str">
        <f>M81/$M$6</f>
        <v>8.444</v>
      </c>
    </row>
    <row r="82" ht="12.75" customHeight="1">
      <c r="A82" s="87"/>
      <c r="B82" s="87" t="str">
        <f t="shared" si="63"/>
        <v>236</v>
      </c>
      <c r="C82" s="87" t="str">
        <f t="shared" si="64"/>
        <v>50</v>
      </c>
      <c r="D82" s="88" t="str">
        <f t="shared" si="65"/>
        <v>50</v>
      </c>
      <c r="E82" s="88" t="str">
        <f>E81-(B83+C83/60+D83/3600)</f>
        <v>-123</v>
      </c>
      <c r="F82" s="88" t="str">
        <f>IF(E82&gt;0,E82,E82+360)</f>
        <v>237</v>
      </c>
      <c r="G82" s="89"/>
      <c r="H82" s="89"/>
      <c r="I82" s="87"/>
      <c r="J82" s="87"/>
      <c r="K82" s="87"/>
      <c r="L82" s="87"/>
      <c r="M82" s="91"/>
      <c r="N82" s="87"/>
      <c r="O82" s="90"/>
    </row>
    <row r="83" ht="12.75" customHeight="1">
      <c r="A83" s="87"/>
      <c r="B83" s="87">
        <v>179.0</v>
      </c>
      <c r="C83" s="87">
        <v>59.0</v>
      </c>
      <c r="D83" s="88">
        <v>58.0</v>
      </c>
      <c r="E83" s="87"/>
      <c r="F83" s="87"/>
      <c r="G83" s="89"/>
      <c r="H83" s="89"/>
      <c r="I83" s="87"/>
      <c r="J83" s="87"/>
      <c r="K83" s="87"/>
      <c r="L83" s="87"/>
      <c r="M83" s="91"/>
      <c r="N83" s="87"/>
      <c r="O83" s="90"/>
    </row>
    <row r="84" ht="12.75" customHeight="1">
      <c r="A84" s="87"/>
      <c r="B84" s="87"/>
      <c r="C84" s="87"/>
      <c r="D84" s="88"/>
      <c r="E84" s="87"/>
      <c r="F84" s="87"/>
      <c r="G84" s="89"/>
      <c r="H84" s="89"/>
      <c r="I84" s="87"/>
      <c r="J84" s="87"/>
      <c r="K84" s="87" t="s">
        <v>129</v>
      </c>
      <c r="L84" s="87" t="str">
        <f>A81</f>
        <v>CM8</v>
      </c>
      <c r="M84" s="91"/>
      <c r="N84" s="87"/>
      <c r="O84" s="90"/>
    </row>
    <row r="85" ht="12.75" customHeight="1">
      <c r="A85" s="87" t="str">
        <f>L76</f>
        <v>CL1</v>
      </c>
      <c r="B85" s="87" t="str">
        <f t="shared" ref="B85:B86" si="67">TRUNC(F85,0)</f>
        <v>236</v>
      </c>
      <c r="C85" s="87" t="str">
        <f t="shared" ref="C85:C86" si="68">TRUNC((F85-B85)*60,0)</f>
        <v>50</v>
      </c>
      <c r="D85" s="88" t="str">
        <f t="shared" ref="D85:D86" si="69">ROUND(((F85-B85)-C85/60)*3600,0)</f>
        <v>50</v>
      </c>
      <c r="E85" s="88" t="str">
        <f>F85</f>
        <v>237</v>
      </c>
      <c r="F85" s="88" t="str">
        <f>I85+J85/60+K85/3600-(H85+G85)/3600</f>
        <v>237</v>
      </c>
      <c r="G85" s="89"/>
      <c r="H85" s="89">
        <v>1.0</v>
      </c>
      <c r="I85" s="88" t="str">
        <f>IF(I81&lt;180,I81+180,I81-180)</f>
        <v>236</v>
      </c>
      <c r="J85" s="88" t="str">
        <f t="shared" ref="J85:K85" si="66">J81</f>
        <v>50</v>
      </c>
      <c r="K85" s="88" t="str">
        <f t="shared" si="66"/>
        <v>51</v>
      </c>
      <c r="L85" s="87"/>
      <c r="M85" s="91"/>
      <c r="N85" s="87"/>
      <c r="O85" s="90"/>
    </row>
    <row r="86" ht="12.75" customHeight="1">
      <c r="A86" s="87"/>
      <c r="B86" s="87" t="str">
        <f t="shared" si="67"/>
        <v>56</v>
      </c>
      <c r="C86" s="87" t="str">
        <f t="shared" si="68"/>
        <v>50</v>
      </c>
      <c r="D86" s="88" t="str">
        <f t="shared" si="69"/>
        <v>49</v>
      </c>
      <c r="E86" s="88" t="str">
        <f>E85-(B87+C87/60+D87/3600)</f>
        <v>57</v>
      </c>
      <c r="F86" s="88" t="str">
        <f>IF(E86&gt;0,E86,E86+360)</f>
        <v>57</v>
      </c>
      <c r="G86" s="89"/>
      <c r="H86" s="89"/>
      <c r="I86" s="87"/>
      <c r="J86" s="87"/>
      <c r="K86" s="87"/>
      <c r="L86" s="87"/>
      <c r="M86" s="91"/>
      <c r="N86" s="87"/>
      <c r="O86" s="90"/>
    </row>
    <row r="87" ht="12.75" customHeight="1">
      <c r="A87" s="87"/>
      <c r="B87" s="87">
        <v>180.0</v>
      </c>
      <c r="C87" s="87">
        <v>0.0</v>
      </c>
      <c r="D87" s="88">
        <v>1.0</v>
      </c>
      <c r="E87" s="87"/>
      <c r="F87" s="87"/>
      <c r="G87" s="89"/>
      <c r="H87" s="89"/>
      <c r="I87" s="87"/>
      <c r="J87" s="87"/>
      <c r="K87" s="87"/>
      <c r="L87" s="87"/>
      <c r="M87" s="91"/>
      <c r="N87" s="87"/>
      <c r="O87" s="90"/>
    </row>
    <row r="88" ht="12.75" customHeight="1">
      <c r="A88" s="87"/>
      <c r="B88" s="87"/>
      <c r="C88" s="87"/>
      <c r="D88" s="88"/>
      <c r="E88" s="87"/>
      <c r="F88" s="87"/>
      <c r="G88" s="89"/>
      <c r="H88" s="89"/>
      <c r="I88" s="87"/>
      <c r="J88" s="87"/>
      <c r="K88" s="87"/>
      <c r="L88" s="87"/>
      <c r="M88" s="91"/>
      <c r="N88" s="87"/>
      <c r="O88" s="90"/>
    </row>
    <row r="89" ht="12.75" customHeight="1">
      <c r="A89" s="87" t="str">
        <f>TRVS!A21</f>
        <v>CM9</v>
      </c>
      <c r="B89" s="87" t="str">
        <f t="shared" ref="B89:B90" si="70">TRUNC(F89,0)</f>
        <v>308</v>
      </c>
      <c r="C89" s="87" t="str">
        <f t="shared" ref="C89:C90" si="71">TRUNC((F89-B89)*60,0)</f>
        <v>44</v>
      </c>
      <c r="D89" s="88" t="str">
        <f t="shared" ref="D89:D90" si="72">ROUND(((F89-B89)-C89/60)*3600,0)</f>
        <v>23</v>
      </c>
      <c r="E89" s="88" t="str">
        <f>F89</f>
        <v>309</v>
      </c>
      <c r="F89" s="88" t="str">
        <f>I89+J89/60+K89/3600-(H89+G89)/3600</f>
        <v>309</v>
      </c>
      <c r="G89" s="89" t="str">
        <f>ROUND(((B87+C87/60+D87/3600)-(B91+C91/60+D91/3600))/2*3600,0)</f>
        <v>1</v>
      </c>
      <c r="H89" s="89" t="str">
        <f>H85</f>
        <v>1</v>
      </c>
      <c r="I89" s="88" t="str">
        <f>TRVS!B21</f>
        <v>308</v>
      </c>
      <c r="J89" s="88" t="str">
        <f>TRVS!C21</f>
        <v>44</v>
      </c>
      <c r="K89" s="88" t="str">
        <f>TRVS!D21</f>
        <v>25</v>
      </c>
      <c r="L89" s="87" t="str">
        <f>L84</f>
        <v>CM8</v>
      </c>
      <c r="M89" s="91" t="str">
        <f>TRVS!L21</f>
        <v>23.533</v>
      </c>
      <c r="N89" s="87" t="str">
        <f>A89</f>
        <v>CM9</v>
      </c>
      <c r="O89" s="90" t="str">
        <f>M89/$M$6</f>
        <v>23.547</v>
      </c>
    </row>
    <row r="90" ht="12.75" customHeight="1">
      <c r="A90" s="87"/>
      <c r="B90" s="87" t="str">
        <f t="shared" si="70"/>
        <v>128</v>
      </c>
      <c r="C90" s="87" t="str">
        <f t="shared" si="71"/>
        <v>44</v>
      </c>
      <c r="D90" s="88" t="str">
        <f t="shared" si="72"/>
        <v>25</v>
      </c>
      <c r="E90" s="88" t="str">
        <f>E89-(B91+C91/60+D91/3600)</f>
        <v>129</v>
      </c>
      <c r="F90" s="88" t="str">
        <f>IF(E90&gt;0,E90,E90+360)</f>
        <v>129</v>
      </c>
      <c r="G90" s="89"/>
      <c r="H90" s="89"/>
      <c r="I90" s="87"/>
      <c r="J90" s="87"/>
      <c r="K90" s="87"/>
      <c r="L90" s="87"/>
      <c r="M90" s="91"/>
      <c r="N90" s="87"/>
      <c r="O90" s="90"/>
    </row>
    <row r="91" ht="12.75" customHeight="1">
      <c r="A91" s="87"/>
      <c r="B91" s="87">
        <v>179.0</v>
      </c>
      <c r="C91" s="87">
        <v>59.0</v>
      </c>
      <c r="D91" s="88">
        <v>58.0</v>
      </c>
      <c r="E91" s="87"/>
      <c r="F91" s="87"/>
      <c r="G91" s="89"/>
      <c r="H91" s="89"/>
      <c r="I91" s="87"/>
      <c r="J91" s="87"/>
      <c r="K91" s="87"/>
      <c r="L91" s="87"/>
      <c r="M91" s="91"/>
      <c r="N91" s="87"/>
      <c r="O91" s="90"/>
    </row>
    <row r="92" ht="12.75" customHeight="1">
      <c r="A92" s="87"/>
      <c r="B92" s="87"/>
      <c r="C92" s="87"/>
      <c r="D92" s="88"/>
      <c r="E92" s="87"/>
      <c r="F92" s="87"/>
      <c r="G92" s="89"/>
      <c r="H92" s="89"/>
      <c r="I92" s="87"/>
      <c r="J92" s="87"/>
      <c r="K92" s="87" t="s">
        <v>129</v>
      </c>
      <c r="L92" s="87" t="str">
        <f>A89</f>
        <v>CM9</v>
      </c>
      <c r="M92" s="91"/>
      <c r="N92" s="87"/>
      <c r="O92" s="90"/>
    </row>
    <row r="93" ht="12.75" customHeight="1">
      <c r="A93" s="87" t="str">
        <f>L84</f>
        <v>CM8</v>
      </c>
      <c r="B93" s="87" t="str">
        <f t="shared" ref="B93:B94" si="74">TRUNC(F93,0)</f>
        <v>128</v>
      </c>
      <c r="C93" s="87" t="str">
        <f t="shared" ref="C93:C94" si="75">TRUNC((F93-B93)*60,0)</f>
        <v>44</v>
      </c>
      <c r="D93" s="88" t="str">
        <f t="shared" ref="D93:D94" si="76">ROUND(((F93-B93)-C93/60)*3600,0)</f>
        <v>24</v>
      </c>
      <c r="E93" s="88" t="str">
        <f>F93</f>
        <v>129</v>
      </c>
      <c r="F93" s="88" t="str">
        <f>I93+J93/60+K93/3600-(H93+G93)/3600</f>
        <v>129</v>
      </c>
      <c r="G93" s="89"/>
      <c r="H93" s="89">
        <v>1.0</v>
      </c>
      <c r="I93" s="88" t="str">
        <f>IF(I89&lt;180,I89+180,I89-180)</f>
        <v>128</v>
      </c>
      <c r="J93" s="88" t="str">
        <f t="shared" ref="J93:K93" si="73">J89</f>
        <v>44</v>
      </c>
      <c r="K93" s="88" t="str">
        <f t="shared" si="73"/>
        <v>25</v>
      </c>
      <c r="L93" s="87"/>
      <c r="M93" s="91"/>
      <c r="N93" s="87"/>
      <c r="O93" s="90"/>
    </row>
    <row r="94" ht="12.75" customHeight="1">
      <c r="A94" s="87"/>
      <c r="B94" s="87" t="str">
        <f t="shared" si="74"/>
        <v>308</v>
      </c>
      <c r="C94" s="87" t="str">
        <f t="shared" si="75"/>
        <v>44</v>
      </c>
      <c r="D94" s="88" t="str">
        <f t="shared" si="76"/>
        <v>23</v>
      </c>
      <c r="E94" s="88" t="str">
        <f>E93-(B95+C95/60+D95/3600)</f>
        <v>-51</v>
      </c>
      <c r="F94" s="88" t="str">
        <f>IF(E94&gt;0,E94,E94+360)</f>
        <v>309</v>
      </c>
      <c r="G94" s="89"/>
      <c r="H94" s="89"/>
      <c r="I94" s="87"/>
      <c r="J94" s="87"/>
      <c r="K94" s="87"/>
      <c r="L94" s="87"/>
      <c r="M94" s="91"/>
      <c r="N94" s="87"/>
      <c r="O94" s="90"/>
    </row>
    <row r="95" ht="12.75" customHeight="1">
      <c r="A95" s="87"/>
      <c r="B95" s="87">
        <v>180.0</v>
      </c>
      <c r="C95" s="87">
        <v>0.0</v>
      </c>
      <c r="D95" s="88">
        <v>1.0</v>
      </c>
      <c r="E95" s="87"/>
      <c r="F95" s="87"/>
      <c r="G95" s="89"/>
      <c r="H95" s="89"/>
      <c r="I95" s="87"/>
      <c r="J95" s="87"/>
      <c r="K95" s="87"/>
      <c r="L95" s="87"/>
      <c r="M95" s="91"/>
      <c r="N95" s="87"/>
      <c r="O95" s="90"/>
    </row>
    <row r="96" ht="12.75" customHeight="1">
      <c r="A96" s="87"/>
      <c r="B96" s="87"/>
      <c r="C96" s="87"/>
      <c r="D96" s="88"/>
      <c r="E96" s="87"/>
      <c r="F96" s="87"/>
      <c r="G96" s="89"/>
      <c r="H96" s="89"/>
      <c r="I96" s="87"/>
      <c r="J96" s="87"/>
      <c r="K96" s="87"/>
      <c r="L96" s="87"/>
      <c r="M96" s="91"/>
      <c r="N96" s="87"/>
      <c r="O96" s="90"/>
    </row>
    <row r="97" ht="12.75" customHeight="1">
      <c r="A97" s="87" t="str">
        <f>TRVS!A22</f>
        <v>CM10</v>
      </c>
      <c r="B97" s="87" t="str">
        <f t="shared" ref="B97:B98" si="77">TRUNC(F97,0)</f>
        <v>223</v>
      </c>
      <c r="C97" s="87" t="str">
        <f t="shared" ref="C97:C98" si="78">TRUNC((F97-B97)*60,0)</f>
        <v>37</v>
      </c>
      <c r="D97" s="88" t="str">
        <f t="shared" ref="D97:D98" si="79">ROUND(((F97-B97)-C97/60)*3600,0)</f>
        <v>29</v>
      </c>
      <c r="E97" s="88" t="str">
        <f>F97</f>
        <v>224</v>
      </c>
      <c r="F97" s="88" t="str">
        <f>I97+J97/60+K97/3600-(H97+G97)/3600</f>
        <v>224</v>
      </c>
      <c r="G97" s="89" t="str">
        <f>ROUND(((B95+C95/60+D95/3600)-(B99+C99/60+D99/3600))/2*3600,0)</f>
        <v>2</v>
      </c>
      <c r="H97" s="89" t="str">
        <f>H93</f>
        <v>1</v>
      </c>
      <c r="I97" s="88" t="str">
        <f>TRVS!B22</f>
        <v>223</v>
      </c>
      <c r="J97" s="88" t="str">
        <f>TRVS!C22</f>
        <v>37</v>
      </c>
      <c r="K97" s="88" t="str">
        <f>TRVS!D22</f>
        <v>32</v>
      </c>
      <c r="L97" s="88" t="str">
        <f>L92</f>
        <v>CM9</v>
      </c>
      <c r="M97" s="91" t="str">
        <f>TRVS!L22</f>
        <v>15.218</v>
      </c>
      <c r="N97" s="87" t="str">
        <f>A97</f>
        <v>CM10</v>
      </c>
      <c r="O97" s="90" t="str">
        <f>M97/$M$6</f>
        <v>15.226</v>
      </c>
    </row>
    <row r="98" ht="12.75" customHeight="1">
      <c r="A98" s="87"/>
      <c r="B98" s="87" t="str">
        <f t="shared" si="77"/>
        <v>43</v>
      </c>
      <c r="C98" s="87" t="str">
        <f t="shared" si="78"/>
        <v>37</v>
      </c>
      <c r="D98" s="88" t="str">
        <f t="shared" si="79"/>
        <v>32</v>
      </c>
      <c r="E98" s="88" t="str">
        <f>E97-(B99+C99/60+D99/3600)</f>
        <v>44</v>
      </c>
      <c r="F98" s="88" t="str">
        <f>IF(E98&gt;0,E98,E98+360)</f>
        <v>44</v>
      </c>
      <c r="G98" s="89"/>
      <c r="H98" s="89"/>
      <c r="I98" s="87"/>
      <c r="J98" s="87"/>
      <c r="K98" s="87"/>
      <c r="L98" s="87"/>
      <c r="M98" s="91"/>
      <c r="N98" s="87"/>
      <c r="O98" s="90"/>
    </row>
    <row r="99" ht="12.75" customHeight="1">
      <c r="A99" s="87"/>
      <c r="B99" s="87">
        <v>179.0</v>
      </c>
      <c r="C99" s="87">
        <v>59.0</v>
      </c>
      <c r="D99" s="88">
        <v>57.0</v>
      </c>
      <c r="E99" s="87"/>
      <c r="F99" s="87"/>
      <c r="G99" s="89"/>
      <c r="H99" s="89"/>
      <c r="I99" s="87"/>
      <c r="J99" s="87"/>
      <c r="K99" s="87"/>
      <c r="L99" s="87"/>
      <c r="M99" s="91"/>
      <c r="N99" s="87"/>
      <c r="O99" s="90"/>
    </row>
    <row r="100" ht="12.75" customHeight="1">
      <c r="A100" s="87"/>
      <c r="B100" s="87"/>
      <c r="C100" s="87"/>
      <c r="D100" s="88"/>
      <c r="E100" s="87"/>
      <c r="F100" s="87"/>
      <c r="G100" s="89"/>
      <c r="H100" s="89"/>
      <c r="I100" s="87"/>
      <c r="J100" s="87"/>
      <c r="K100" s="87" t="s">
        <v>129</v>
      </c>
      <c r="L100" s="87" t="str">
        <f>A97</f>
        <v>CM10</v>
      </c>
      <c r="M100" s="91"/>
      <c r="N100" s="87"/>
      <c r="O100" s="90"/>
    </row>
    <row r="101" ht="12.75" customHeight="1">
      <c r="A101" s="87" t="str">
        <f>L92</f>
        <v>CM9</v>
      </c>
      <c r="B101" s="87" t="str">
        <f t="shared" ref="B101:B102" si="81">TRUNC(F101,0)</f>
        <v>43</v>
      </c>
      <c r="C101" s="87" t="str">
        <f t="shared" ref="C101:C102" si="82">TRUNC((F101-B101)*60,0)</f>
        <v>37</v>
      </c>
      <c r="D101" s="88" t="str">
        <f t="shared" ref="D101:D102" si="83">ROUND(((F101-B101)-C101/60)*3600,0)</f>
        <v>31</v>
      </c>
      <c r="E101" s="88" t="str">
        <f>F101</f>
        <v>44</v>
      </c>
      <c r="F101" s="88" t="str">
        <f>I101+J101/60+K101/3600-(H101+G101)/3600</f>
        <v>44</v>
      </c>
      <c r="G101" s="89"/>
      <c r="H101" s="89">
        <v>1.0</v>
      </c>
      <c r="I101" s="88" t="str">
        <f>IF(I97&lt;180,I97+180,I97-180)</f>
        <v>43</v>
      </c>
      <c r="J101" s="88" t="str">
        <f t="shared" ref="J101:K101" si="80">J97</f>
        <v>37</v>
      </c>
      <c r="K101" s="88" t="str">
        <f t="shared" si="80"/>
        <v>32</v>
      </c>
      <c r="L101" s="87"/>
      <c r="M101" s="91"/>
      <c r="N101" s="87"/>
      <c r="O101" s="90"/>
    </row>
    <row r="102" ht="12.75" customHeight="1">
      <c r="A102" s="87"/>
      <c r="B102" s="87" t="str">
        <f t="shared" si="81"/>
        <v>223</v>
      </c>
      <c r="C102" s="87" t="str">
        <f t="shared" si="82"/>
        <v>37</v>
      </c>
      <c r="D102" s="88" t="str">
        <f t="shared" si="83"/>
        <v>30</v>
      </c>
      <c r="E102" s="88" t="str">
        <f>E101-(B103+C103/60+D103/3600)</f>
        <v>-136</v>
      </c>
      <c r="F102" s="88" t="str">
        <f>IF(E102&gt;0,E102,E102+360)</f>
        <v>224</v>
      </c>
      <c r="G102" s="89"/>
      <c r="H102" s="89"/>
      <c r="I102" s="87"/>
      <c r="J102" s="87"/>
      <c r="K102" s="87"/>
      <c r="L102" s="87"/>
      <c r="M102" s="91"/>
      <c r="N102" s="87"/>
      <c r="O102" s="90"/>
    </row>
    <row r="103" ht="12.75" customHeight="1">
      <c r="A103" s="87"/>
      <c r="B103" s="87">
        <v>180.0</v>
      </c>
      <c r="C103" s="87">
        <v>0.0</v>
      </c>
      <c r="D103" s="88">
        <v>1.0</v>
      </c>
      <c r="E103" s="87"/>
      <c r="F103" s="87"/>
      <c r="G103" s="89"/>
      <c r="H103" s="89"/>
      <c r="I103" s="87"/>
      <c r="J103" s="87"/>
      <c r="K103" s="87"/>
      <c r="L103" s="87"/>
      <c r="M103" s="91"/>
      <c r="N103" s="87"/>
      <c r="O103" s="90"/>
    </row>
    <row r="104" ht="12.75" customHeight="1">
      <c r="A104" s="87"/>
      <c r="B104" s="87"/>
      <c r="C104" s="87"/>
      <c r="D104" s="88"/>
      <c r="E104" s="87"/>
      <c r="F104" s="87"/>
      <c r="G104" s="89"/>
      <c r="H104" s="89"/>
      <c r="I104" s="87"/>
      <c r="J104" s="87"/>
      <c r="K104" s="87"/>
      <c r="L104" s="87"/>
      <c r="M104" s="91"/>
      <c r="N104" s="87"/>
      <c r="O104" s="90"/>
    </row>
    <row r="105" ht="12.75" customHeight="1">
      <c r="A105" s="87" t="str">
        <f>TRVS!A23</f>
        <v>CM11</v>
      </c>
      <c r="B105" s="87" t="str">
        <f t="shared" ref="B105:B106" si="84">TRUNC(F105,0)</f>
        <v>245</v>
      </c>
      <c r="C105" s="87" t="str">
        <f t="shared" ref="C105:C106" si="85">TRUNC((F105-B105)*60,0)</f>
        <v>38</v>
      </c>
      <c r="D105" s="88" t="str">
        <f t="shared" ref="D105:D106" si="86">ROUND(((F105-B105)-C105/60)*3600,0)</f>
        <v>58</v>
      </c>
      <c r="E105" s="88" t="str">
        <f>F105</f>
        <v>246</v>
      </c>
      <c r="F105" s="88" t="str">
        <f>I105+J105/60+K105/3600-(H105+G105)/3600</f>
        <v>246</v>
      </c>
      <c r="G105" s="89" t="str">
        <f>ROUND(((B103+C103/60+D103/3600)-(B107+C107/60+D107/3600))/2*3600,0)</f>
        <v>1</v>
      </c>
      <c r="H105" s="89" t="str">
        <f>H101</f>
        <v>1</v>
      </c>
      <c r="I105" s="88" t="str">
        <f>TRVS!B23</f>
        <v>245</v>
      </c>
      <c r="J105" s="88" t="str">
        <f>TRVS!C23</f>
        <v>38</v>
      </c>
      <c r="K105" s="88" t="str">
        <f>TRVS!D23</f>
        <v>60</v>
      </c>
      <c r="L105" s="87" t="str">
        <f>L100</f>
        <v>CM10</v>
      </c>
      <c r="M105" s="91" t="str">
        <f>TRVS!L23</f>
        <v>13.909</v>
      </c>
      <c r="N105" s="87" t="str">
        <f>A105</f>
        <v>CM11</v>
      </c>
      <c r="O105" s="90" t="str">
        <f>M105/$M$6</f>
        <v>13.917</v>
      </c>
    </row>
    <row r="106" ht="12.75" customHeight="1">
      <c r="A106" s="87"/>
      <c r="B106" s="87" t="str">
        <f t="shared" si="84"/>
        <v>65</v>
      </c>
      <c r="C106" s="87" t="str">
        <f t="shared" si="85"/>
        <v>39</v>
      </c>
      <c r="D106" s="88" t="str">
        <f t="shared" si="86"/>
        <v>0</v>
      </c>
      <c r="E106" s="88" t="str">
        <f>E105-(B107+C107/60+D107/3600)</f>
        <v>66</v>
      </c>
      <c r="F106" s="88" t="str">
        <f>IF(E106&gt;0,E106,E106+360)</f>
        <v>66</v>
      </c>
      <c r="G106" s="89"/>
      <c r="H106" s="89"/>
      <c r="I106" s="87"/>
      <c r="J106" s="87"/>
      <c r="K106" s="87"/>
      <c r="L106" s="87"/>
      <c r="M106" s="91"/>
      <c r="N106" s="87"/>
      <c r="O106" s="90"/>
    </row>
    <row r="107" ht="12.75" customHeight="1">
      <c r="A107" s="87"/>
      <c r="B107" s="87">
        <v>179.0</v>
      </c>
      <c r="C107" s="87">
        <v>59.0</v>
      </c>
      <c r="D107" s="88">
        <v>58.0</v>
      </c>
      <c r="E107" s="87"/>
      <c r="F107" s="87"/>
      <c r="G107" s="89"/>
      <c r="H107" s="89"/>
      <c r="I107" s="87"/>
      <c r="J107" s="87"/>
      <c r="K107" s="87"/>
      <c r="L107" s="87"/>
      <c r="M107" s="91"/>
      <c r="N107" s="87"/>
      <c r="O107" s="90"/>
    </row>
    <row r="108" ht="12.75" customHeight="1">
      <c r="A108" s="87"/>
      <c r="B108" s="87"/>
      <c r="C108" s="87"/>
      <c r="D108" s="88"/>
      <c r="E108" s="87"/>
      <c r="F108" s="87"/>
      <c r="G108" s="89"/>
      <c r="H108" s="89"/>
      <c r="I108" s="87"/>
      <c r="J108" s="87"/>
      <c r="K108" s="87" t="s">
        <v>129</v>
      </c>
      <c r="L108" s="87" t="str">
        <f>A105</f>
        <v>CM11</v>
      </c>
      <c r="M108" s="91"/>
      <c r="N108" s="87"/>
      <c r="O108" s="90"/>
    </row>
    <row r="109" ht="12.75" customHeight="1">
      <c r="A109" s="87" t="str">
        <f>L100</f>
        <v>CM10</v>
      </c>
      <c r="B109" s="87" t="str">
        <f t="shared" ref="B109:B110" si="88">TRUNC(F109,0)</f>
        <v>65</v>
      </c>
      <c r="C109" s="87" t="str">
        <f t="shared" ref="C109:C110" si="89">TRUNC((F109-B109)*60,0)</f>
        <v>38</v>
      </c>
      <c r="D109" s="88" t="str">
        <f t="shared" ref="D109:D110" si="90">ROUND(((F109-B109)-C109/60)*3600,0)</f>
        <v>57</v>
      </c>
      <c r="E109" s="88" t="str">
        <f>F109</f>
        <v>66</v>
      </c>
      <c r="F109" s="88" t="str">
        <f>I109+J109/60+K109/3600-(H109+G109)/3600</f>
        <v>66</v>
      </c>
      <c r="G109" s="89"/>
      <c r="H109" s="89">
        <v>3.0</v>
      </c>
      <c r="I109" s="88" t="str">
        <f>IF(I105&lt;180,I105+180,I105-180)</f>
        <v>65</v>
      </c>
      <c r="J109" s="88" t="str">
        <f t="shared" ref="J109:K109" si="87">J105</f>
        <v>38</v>
      </c>
      <c r="K109" s="88" t="str">
        <f t="shared" si="87"/>
        <v>60</v>
      </c>
      <c r="L109" s="87"/>
      <c r="M109" s="91"/>
      <c r="N109" s="87"/>
      <c r="O109" s="90"/>
    </row>
    <row r="110" ht="12.75" customHeight="1">
      <c r="A110" s="87"/>
      <c r="B110" s="87" t="str">
        <f t="shared" si="88"/>
        <v>225</v>
      </c>
      <c r="C110" s="87" t="str">
        <f t="shared" si="89"/>
        <v>38</v>
      </c>
      <c r="D110" s="88" t="str">
        <f t="shared" si="90"/>
        <v>56</v>
      </c>
      <c r="E110" s="88" t="str">
        <f>E109-(B111+C111/60+D111/3600)</f>
        <v>-134</v>
      </c>
      <c r="F110" s="88" t="str">
        <f>IF(E110&gt;0,E110,E110+360)</f>
        <v>226</v>
      </c>
      <c r="G110" s="89"/>
      <c r="H110" s="89"/>
      <c r="I110" s="87"/>
      <c r="J110" s="87"/>
      <c r="K110" s="87"/>
      <c r="L110" s="87"/>
      <c r="M110" s="91"/>
      <c r="N110" s="87"/>
      <c r="O110" s="90"/>
    </row>
    <row r="111" ht="12.75" customHeight="1">
      <c r="A111" s="87"/>
      <c r="B111" s="87">
        <v>200.0</v>
      </c>
      <c r="C111" s="87">
        <v>0.0</v>
      </c>
      <c r="D111" s="88">
        <v>1.0</v>
      </c>
      <c r="E111" s="87"/>
      <c r="F111" s="87"/>
      <c r="G111" s="89"/>
      <c r="H111" s="89"/>
      <c r="I111" s="87"/>
      <c r="J111" s="87"/>
      <c r="K111" s="87"/>
      <c r="L111" s="87"/>
      <c r="M111" s="91"/>
      <c r="N111" s="87"/>
      <c r="O111" s="90"/>
    </row>
    <row r="112" ht="12.75" customHeight="1">
      <c r="A112" s="87"/>
      <c r="B112" s="87"/>
      <c r="C112" s="87"/>
      <c r="D112" s="88"/>
      <c r="E112" s="87"/>
      <c r="F112" s="87"/>
      <c r="G112" s="89"/>
      <c r="H112" s="89"/>
      <c r="I112" s="87"/>
      <c r="J112" s="87"/>
      <c r="K112" s="87"/>
      <c r="L112" s="87"/>
      <c r="M112" s="91"/>
      <c r="N112" s="87"/>
      <c r="O112" s="90"/>
    </row>
    <row r="113" ht="12.75" customHeight="1">
      <c r="A113" s="87" t="str">
        <f>TRVS!A24</f>
        <v>CM12</v>
      </c>
      <c r="B113" s="87" t="str">
        <f t="shared" ref="B113:B114" si="91">TRUNC(F113,0)</f>
        <v>247</v>
      </c>
      <c r="C113" s="87" t="str">
        <f t="shared" ref="C113:C114" si="92">TRUNC((F113-B113)*60,0)</f>
        <v>48</v>
      </c>
      <c r="D113" s="88" t="str">
        <f t="shared" ref="D113:D114" si="93">ROUND(((F113-B113)-C113/60)*3600,0)</f>
        <v>54</v>
      </c>
      <c r="E113" s="88" t="str">
        <f>F113</f>
        <v>248</v>
      </c>
      <c r="F113" s="88" t="str">
        <f>I113+J113/60+K113/3600-(H113+G113)/3600</f>
        <v>248</v>
      </c>
      <c r="G113" s="89" t="str">
        <f>ROUND(((B111+C111/60+D111/3600)-(B115+C115/60+D115/3600))/2*3600,0)</f>
        <v>-1</v>
      </c>
      <c r="H113" s="89" t="str">
        <f>H109</f>
        <v>3</v>
      </c>
      <c r="I113" s="88" t="str">
        <f>TRVS!B24</f>
        <v>247</v>
      </c>
      <c r="J113" s="88" t="str">
        <f>TRVS!C24</f>
        <v>48</v>
      </c>
      <c r="K113" s="88" t="str">
        <f>TRVS!D24</f>
        <v>56</v>
      </c>
      <c r="L113" s="87" t="str">
        <f>L108</f>
        <v>CM11</v>
      </c>
      <c r="M113" s="91" t="str">
        <f>TRVS!L24</f>
        <v>37.340</v>
      </c>
      <c r="N113" s="87" t="str">
        <f>A113</f>
        <v>CM12</v>
      </c>
      <c r="O113" s="90" t="str">
        <f>M113/$M$6</f>
        <v>37.361</v>
      </c>
    </row>
    <row r="114" ht="12.75" customHeight="1">
      <c r="A114" s="87"/>
      <c r="B114" s="87" t="str">
        <f t="shared" si="91"/>
        <v>47</v>
      </c>
      <c r="C114" s="87" t="str">
        <f t="shared" si="92"/>
        <v>48</v>
      </c>
      <c r="D114" s="88" t="str">
        <f t="shared" si="93"/>
        <v>52</v>
      </c>
      <c r="E114" s="88" t="str">
        <f>E113-(B115+C115/60+D115/3600)</f>
        <v>48</v>
      </c>
      <c r="F114" s="88" t="str">
        <f>IF(E114&gt;0,E114,E114+360)</f>
        <v>48</v>
      </c>
      <c r="G114" s="89"/>
      <c r="H114" s="89"/>
      <c r="I114" s="87"/>
      <c r="J114" s="87"/>
      <c r="K114" s="87"/>
      <c r="L114" s="87"/>
      <c r="M114" s="91"/>
      <c r="N114" s="87"/>
      <c r="O114" s="90"/>
    </row>
    <row r="115" ht="12.75" customHeight="1">
      <c r="A115" s="87"/>
      <c r="B115" s="87">
        <v>200.0</v>
      </c>
      <c r="C115" s="87">
        <v>0.0</v>
      </c>
      <c r="D115" s="88">
        <v>2.0</v>
      </c>
      <c r="E115" s="87"/>
      <c r="F115" s="87"/>
      <c r="G115" s="89"/>
      <c r="H115" s="89"/>
      <c r="I115" s="87"/>
      <c r="J115" s="87"/>
      <c r="K115" s="87"/>
      <c r="L115" s="87"/>
      <c r="M115" s="91"/>
      <c r="N115" s="87"/>
      <c r="O115" s="90"/>
    </row>
    <row r="116" ht="12.75" customHeight="1">
      <c r="A116" s="87"/>
      <c r="B116" s="87"/>
      <c r="C116" s="87"/>
      <c r="D116" s="88"/>
      <c r="E116" s="87"/>
      <c r="F116" s="87"/>
      <c r="G116" s="89"/>
      <c r="H116" s="89"/>
      <c r="I116" s="87"/>
      <c r="J116" s="87"/>
      <c r="K116" s="87" t="s">
        <v>129</v>
      </c>
      <c r="L116" s="87" t="str">
        <f>A113</f>
        <v>CM12</v>
      </c>
      <c r="M116" s="91"/>
      <c r="N116" s="87"/>
      <c r="O116" s="90"/>
    </row>
    <row r="117" ht="12.75" customHeight="1">
      <c r="A117" s="87" t="str">
        <f>L108</f>
        <v>CM11</v>
      </c>
      <c r="B117" s="87" t="str">
        <f t="shared" ref="B117:B118" si="95">TRUNC(F117,0)</f>
        <v>67</v>
      </c>
      <c r="C117" s="87" t="str">
        <f t="shared" ref="C117:C118" si="96">TRUNC((F117-B117)*60,0)</f>
        <v>48</v>
      </c>
      <c r="D117" s="88" t="str">
        <f t="shared" ref="D117:D118" si="97">ROUND(((F117-B117)-C117/60)*3600,0)</f>
        <v>55</v>
      </c>
      <c r="E117" s="88" t="str">
        <f>F117</f>
        <v>68</v>
      </c>
      <c r="F117" s="88" t="str">
        <f>I117+J117/60+K117/3600-(H117+G117)/3600</f>
        <v>68</v>
      </c>
      <c r="G117" s="89"/>
      <c r="H117" s="89">
        <v>1.0</v>
      </c>
      <c r="I117" s="88" t="str">
        <f>IF(I113&lt;180,I113+180,I113-180)</f>
        <v>67</v>
      </c>
      <c r="J117" s="88" t="str">
        <f t="shared" ref="J117:K117" si="94">J113</f>
        <v>48</v>
      </c>
      <c r="K117" s="88" t="str">
        <f t="shared" si="94"/>
        <v>56</v>
      </c>
      <c r="L117" s="87"/>
      <c r="M117" s="91"/>
      <c r="N117" s="87"/>
      <c r="O117" s="90"/>
    </row>
    <row r="118" ht="12.75" customHeight="1">
      <c r="A118" s="87"/>
      <c r="B118" s="87" t="str">
        <f t="shared" si="95"/>
        <v>247</v>
      </c>
      <c r="C118" s="87" t="str">
        <f t="shared" si="96"/>
        <v>48</v>
      </c>
      <c r="D118" s="88" t="str">
        <f t="shared" si="97"/>
        <v>54</v>
      </c>
      <c r="E118" s="88" t="str">
        <f>E117-(B119+C119/60+D119/3600)</f>
        <v>-112</v>
      </c>
      <c r="F118" s="88" t="str">
        <f>IF(E118&gt;0,E118,E118+360)</f>
        <v>248</v>
      </c>
      <c r="G118" s="89"/>
      <c r="H118" s="89"/>
      <c r="I118" s="87"/>
      <c r="J118" s="87"/>
      <c r="K118" s="87"/>
      <c r="L118" s="87"/>
      <c r="M118" s="91"/>
      <c r="N118" s="87"/>
      <c r="O118" s="90"/>
    </row>
    <row r="119" ht="12.75" customHeight="1">
      <c r="A119" s="87"/>
      <c r="B119" s="87">
        <v>180.0</v>
      </c>
      <c r="C119" s="87">
        <v>0.0</v>
      </c>
      <c r="D119" s="88">
        <v>1.0</v>
      </c>
      <c r="E119" s="87"/>
      <c r="F119" s="87"/>
      <c r="G119" s="89"/>
      <c r="H119" s="89"/>
      <c r="I119" s="87"/>
      <c r="J119" s="87"/>
      <c r="K119" s="87"/>
      <c r="L119" s="87"/>
      <c r="M119" s="91"/>
      <c r="N119" s="87"/>
      <c r="O119" s="90"/>
    </row>
    <row r="120" ht="12.75" customHeight="1">
      <c r="A120" s="87"/>
      <c r="B120" s="87"/>
      <c r="C120" s="87"/>
      <c r="D120" s="88"/>
      <c r="E120" s="87"/>
      <c r="F120" s="87"/>
      <c r="G120" s="89"/>
      <c r="H120" s="89"/>
      <c r="I120" s="87"/>
      <c r="J120" s="87"/>
      <c r="K120" s="87"/>
      <c r="L120" s="87"/>
      <c r="M120" s="91"/>
      <c r="N120" s="87"/>
      <c r="O120" s="90"/>
    </row>
    <row r="121" ht="12.75" customHeight="1">
      <c r="A121" s="87" t="str">
        <f>TRVS!A25</f>
        <v>CM13</v>
      </c>
      <c r="B121" s="87" t="str">
        <f t="shared" ref="B121:B122" si="98">TRUNC(F121,0)</f>
        <v>243</v>
      </c>
      <c r="C121" s="87" t="str">
        <f t="shared" ref="C121:C122" si="99">TRUNC((F121-B121)*60,0)</f>
        <v>22</v>
      </c>
      <c r="D121" s="88" t="str">
        <f t="shared" ref="D121:D122" si="100">ROUND(((F121-B121)-C121/60)*3600,0)</f>
        <v>40</v>
      </c>
      <c r="E121" s="88" t="str">
        <f>F121</f>
        <v>243</v>
      </c>
      <c r="F121" s="88" t="str">
        <f>I121+J121/60+K121/3600-(H121+G121)/3600</f>
        <v>243</v>
      </c>
      <c r="G121" s="89" t="str">
        <f>ROUND(((B119+C119/60+D119/3600)-(B123+C123/60+D123/3600))/2*3600,0)</f>
        <v>-3</v>
      </c>
      <c r="H121" s="89" t="str">
        <f>H117</f>
        <v>1</v>
      </c>
      <c r="I121" s="88" t="str">
        <f>TRVS!B25</f>
        <v>243</v>
      </c>
      <c r="J121" s="88" t="str">
        <f>TRVS!C25</f>
        <v>22</v>
      </c>
      <c r="K121" s="88" t="str">
        <f>TRVS!D25</f>
        <v>38</v>
      </c>
      <c r="L121" s="87" t="str">
        <f>L116</f>
        <v>CM12</v>
      </c>
      <c r="M121" s="91" t="str">
        <f>TRVS!L25</f>
        <v>51.621</v>
      </c>
      <c r="N121" s="87" t="str">
        <f>A121</f>
        <v>CM13</v>
      </c>
      <c r="O121" s="90" t="str">
        <f>M121/$M$6</f>
        <v>51.651</v>
      </c>
    </row>
    <row r="122" ht="12.75" customHeight="1">
      <c r="A122" s="87"/>
      <c r="B122" s="87" t="str">
        <f t="shared" si="98"/>
        <v>63</v>
      </c>
      <c r="C122" s="87" t="str">
        <f t="shared" si="99"/>
        <v>22</v>
      </c>
      <c r="D122" s="88" t="str">
        <f t="shared" si="100"/>
        <v>33</v>
      </c>
      <c r="E122" s="88" t="str">
        <f>E121-(B123+C123/60+D123/3600)</f>
        <v>63</v>
      </c>
      <c r="F122" s="88" t="str">
        <f>IF(E122&gt;0,E122,E122+360)</f>
        <v>63</v>
      </c>
      <c r="G122" s="89"/>
      <c r="H122" s="89"/>
      <c r="I122" s="87"/>
      <c r="J122" s="87"/>
      <c r="K122" s="87"/>
      <c r="L122" s="87"/>
      <c r="M122" s="91"/>
      <c r="N122" s="87"/>
      <c r="O122" s="90"/>
    </row>
    <row r="123" ht="12.75" customHeight="1">
      <c r="A123" s="87"/>
      <c r="B123" s="87">
        <v>180.0</v>
      </c>
      <c r="C123" s="87">
        <v>0.0</v>
      </c>
      <c r="D123" s="88">
        <v>7.0</v>
      </c>
      <c r="E123" s="87"/>
      <c r="F123" s="87"/>
      <c r="G123" s="89"/>
      <c r="H123" s="89"/>
      <c r="I123" s="87"/>
      <c r="J123" s="87"/>
      <c r="K123" s="87"/>
      <c r="L123" s="87"/>
      <c r="M123" s="91"/>
      <c r="N123" s="87"/>
      <c r="O123" s="90"/>
    </row>
    <row r="124" ht="12.75" customHeight="1">
      <c r="A124" s="87"/>
      <c r="B124" s="87"/>
      <c r="C124" s="87"/>
      <c r="D124" s="88"/>
      <c r="E124" s="87"/>
      <c r="F124" s="87"/>
      <c r="G124" s="89"/>
      <c r="H124" s="89"/>
      <c r="I124" s="87"/>
      <c r="J124" s="87"/>
      <c r="K124" s="87" t="s">
        <v>129</v>
      </c>
      <c r="L124" s="87" t="str">
        <f>A121</f>
        <v>CM13</v>
      </c>
      <c r="M124" s="91"/>
      <c r="N124" s="87"/>
      <c r="O124" s="90"/>
    </row>
    <row r="125" ht="12.75" customHeight="1">
      <c r="A125" s="87" t="str">
        <f>L116</f>
        <v>CM12</v>
      </c>
      <c r="B125" s="87" t="str">
        <f t="shared" ref="B125:B126" si="102">TRUNC(F125,0)</f>
        <v>63</v>
      </c>
      <c r="C125" s="87" t="str">
        <f t="shared" ref="C125:C126" si="103">TRUNC((F125-B125)*60,0)</f>
        <v>22</v>
      </c>
      <c r="D125" s="88" t="str">
        <f t="shared" ref="D125:D126" si="104">ROUND(((F125-B125)-C125/60)*3600,0)</f>
        <v>39</v>
      </c>
      <c r="E125" s="88" t="str">
        <f>F125</f>
        <v>63</v>
      </c>
      <c r="F125" s="88" t="str">
        <f>I125+J125/60+K125/3600-(H125+G125)/3600</f>
        <v>63</v>
      </c>
      <c r="G125" s="89"/>
      <c r="H125" s="89">
        <v>-1.0</v>
      </c>
      <c r="I125" s="88" t="str">
        <f>IF(I121&lt;180,I121+180,I121-180)</f>
        <v>63</v>
      </c>
      <c r="J125" s="88" t="str">
        <f t="shared" ref="J125:K125" si="101">J121</f>
        <v>22</v>
      </c>
      <c r="K125" s="88" t="str">
        <f t="shared" si="101"/>
        <v>38</v>
      </c>
      <c r="L125" s="87"/>
      <c r="M125" s="91"/>
      <c r="N125" s="87"/>
      <c r="O125" s="90"/>
    </row>
    <row r="126" ht="12.75" customHeight="1">
      <c r="A126" s="87"/>
      <c r="B126" s="87" t="str">
        <f t="shared" si="102"/>
        <v>243</v>
      </c>
      <c r="C126" s="87" t="str">
        <f t="shared" si="103"/>
        <v>22</v>
      </c>
      <c r="D126" s="88" t="str">
        <f t="shared" si="104"/>
        <v>38</v>
      </c>
      <c r="E126" s="88" t="str">
        <f>E125-(B127+C127/60+D127/3600)</f>
        <v>-117</v>
      </c>
      <c r="F126" s="88" t="str">
        <f>IF(E126&gt;0,E126,E126+360)</f>
        <v>243</v>
      </c>
      <c r="G126" s="89"/>
      <c r="H126" s="89"/>
      <c r="I126" s="87"/>
      <c r="J126" s="87"/>
      <c r="K126" s="87"/>
      <c r="L126" s="87"/>
      <c r="M126" s="91"/>
      <c r="N126" s="87"/>
      <c r="O126" s="90"/>
    </row>
    <row r="127" ht="12.75" customHeight="1">
      <c r="A127" s="87"/>
      <c r="B127" s="87">
        <v>180.0</v>
      </c>
      <c r="C127" s="87">
        <v>0.0</v>
      </c>
      <c r="D127" s="88">
        <v>1.0</v>
      </c>
      <c r="E127" s="87"/>
      <c r="F127" s="87"/>
      <c r="G127" s="89"/>
      <c r="H127" s="89"/>
      <c r="I127" s="87"/>
      <c r="J127" s="87"/>
      <c r="K127" s="87"/>
      <c r="L127" s="87"/>
      <c r="M127" s="91"/>
      <c r="N127" s="87"/>
      <c r="O127" s="90"/>
    </row>
    <row r="128" ht="12.75" customHeight="1">
      <c r="A128" s="87"/>
      <c r="B128" s="87"/>
      <c r="C128" s="87"/>
      <c r="D128" s="88"/>
      <c r="E128" s="87"/>
      <c r="F128" s="87"/>
      <c r="G128" s="89"/>
      <c r="H128" s="89"/>
      <c r="I128" s="87"/>
      <c r="J128" s="87"/>
      <c r="K128" s="87"/>
      <c r="L128" s="87"/>
      <c r="M128" s="91"/>
      <c r="N128" s="87"/>
      <c r="O128" s="90"/>
    </row>
    <row r="129" ht="12.75" customHeight="1">
      <c r="A129" s="87" t="str">
        <f>TRVS!A26</f>
        <v>CM14</v>
      </c>
      <c r="B129" s="87"/>
      <c r="C129" s="87"/>
      <c r="D129" s="88"/>
      <c r="E129" s="87"/>
      <c r="F129" s="87"/>
      <c r="G129" s="89"/>
      <c r="H129" s="89"/>
      <c r="I129" s="87"/>
      <c r="J129" s="87"/>
      <c r="K129" s="87"/>
      <c r="L129" s="87"/>
      <c r="M129" s="91"/>
      <c r="N129" s="87"/>
      <c r="O129" s="90"/>
    </row>
    <row r="130" ht="12.75" customHeight="1">
      <c r="A130" s="87"/>
      <c r="B130" s="87"/>
      <c r="C130" s="87"/>
      <c r="D130" s="88"/>
      <c r="E130" s="87"/>
      <c r="F130" s="87"/>
      <c r="G130" s="89"/>
      <c r="H130" s="89"/>
      <c r="I130" s="87"/>
      <c r="J130" s="87"/>
      <c r="K130" s="87"/>
      <c r="L130" s="87"/>
      <c r="M130" s="91"/>
      <c r="N130" s="87"/>
      <c r="O130" s="90"/>
    </row>
    <row r="131" ht="12.75" customHeight="1">
      <c r="A131" s="87"/>
      <c r="B131" s="87"/>
      <c r="C131" s="87"/>
      <c r="D131" s="88"/>
      <c r="E131" s="87"/>
      <c r="F131" s="87"/>
      <c r="G131" s="89"/>
      <c r="H131" s="89"/>
      <c r="I131" s="87"/>
      <c r="J131" s="87"/>
      <c r="K131" s="87"/>
      <c r="L131" s="87"/>
      <c r="M131" s="91"/>
      <c r="N131" s="87"/>
      <c r="O131" s="90"/>
    </row>
    <row r="132" ht="12.75" customHeight="1">
      <c r="A132" s="87"/>
      <c r="B132" s="87"/>
      <c r="C132" s="87"/>
      <c r="D132" s="88"/>
      <c r="E132" s="87"/>
      <c r="F132" s="87"/>
      <c r="G132" s="89"/>
      <c r="H132" s="89"/>
      <c r="I132" s="87"/>
      <c r="J132" s="87"/>
      <c r="K132" s="87"/>
      <c r="L132" s="87"/>
      <c r="M132" s="91"/>
      <c r="N132" s="87"/>
      <c r="O132" s="90"/>
    </row>
    <row r="133" ht="12.75" customHeight="1">
      <c r="A133" s="87" t="str">
        <f>TRVS!A57</f>
        <v>CM44</v>
      </c>
      <c r="B133" s="87" t="str">
        <f t="shared" ref="B133:B134" si="105">TRUNC(F133,0)</f>
        <v>300</v>
      </c>
      <c r="C133" s="87" t="str">
        <f t="shared" ref="C133:C134" si="106">TRUNC((F133-B133)*60,0)</f>
        <v>35</v>
      </c>
      <c r="D133" s="88" t="str">
        <f t="shared" ref="D133:D134" si="107">ROUND(((F133-B133)-C133/60)*3600,0)</f>
        <v>48</v>
      </c>
      <c r="E133" s="88" t="str">
        <f>F133</f>
        <v>301</v>
      </c>
      <c r="F133" s="88" t="str">
        <f>I133+J133/60+K133/3600-(H133+G133)/3600</f>
        <v>301</v>
      </c>
      <c r="G133" s="89" t="str">
        <f>ROUND(((B127+C127/60+D127/3600)-(B135+C135/60+D135/3600))/2*3600,0)</f>
        <v>1</v>
      </c>
      <c r="H133" s="89" t="str">
        <f>H125</f>
        <v>-1</v>
      </c>
      <c r="I133" s="88" t="str">
        <f>TRVS!B57</f>
        <v>300</v>
      </c>
      <c r="J133" s="88" t="str">
        <f>TRVS!C57</f>
        <v>35</v>
      </c>
      <c r="K133" s="88" t="str">
        <f>TRVS!D57</f>
        <v>48</v>
      </c>
      <c r="L133" s="87" t="str">
        <f>L124</f>
        <v>CM13</v>
      </c>
      <c r="M133" s="91" t="str">
        <f>TRVS!L57</f>
        <v>19.733</v>
      </c>
      <c r="N133" s="87" t="str">
        <f>A133</f>
        <v>CM44</v>
      </c>
      <c r="O133" s="90" t="str">
        <f>M133/$M$6</f>
        <v>19.744</v>
      </c>
    </row>
    <row r="134" ht="12.75" customHeight="1">
      <c r="A134" s="87"/>
      <c r="B134" s="87" t="str">
        <f t="shared" si="105"/>
        <v>120</v>
      </c>
      <c r="C134" s="87" t="str">
        <f t="shared" si="106"/>
        <v>35</v>
      </c>
      <c r="D134" s="88" t="str">
        <f t="shared" si="107"/>
        <v>50</v>
      </c>
      <c r="E134" s="88" t="str">
        <f>E133-(B135+C135/60+D135/3600)</f>
        <v>121</v>
      </c>
      <c r="F134" s="88" t="str">
        <f>IF(E134&gt;0,E134,E134+360)</f>
        <v>121</v>
      </c>
      <c r="G134" s="89"/>
      <c r="H134" s="89"/>
      <c r="I134" s="87"/>
      <c r="J134" s="87"/>
      <c r="K134" s="87"/>
      <c r="L134" s="87"/>
      <c r="M134" s="91"/>
      <c r="N134" s="87"/>
      <c r="O134" s="90"/>
    </row>
    <row r="135" ht="12.75" customHeight="1">
      <c r="A135" s="87"/>
      <c r="B135" s="87">
        <v>179.0</v>
      </c>
      <c r="C135" s="87">
        <v>59.0</v>
      </c>
      <c r="D135" s="88">
        <v>58.0</v>
      </c>
      <c r="E135" s="87"/>
      <c r="F135" s="87"/>
      <c r="G135" s="89"/>
      <c r="H135" s="89"/>
      <c r="I135" s="87"/>
      <c r="J135" s="87"/>
      <c r="K135" s="87"/>
      <c r="L135" s="87"/>
      <c r="M135" s="91"/>
      <c r="N135" s="87"/>
      <c r="O135" s="90"/>
    </row>
    <row r="136" ht="12.75" customHeight="1">
      <c r="A136" s="87"/>
      <c r="B136" s="87"/>
      <c r="C136" s="87"/>
      <c r="D136" s="88"/>
      <c r="E136" s="87"/>
      <c r="F136" s="87"/>
      <c r="G136" s="89"/>
      <c r="H136" s="89"/>
      <c r="I136" s="87"/>
      <c r="J136" s="87"/>
      <c r="K136" s="87" t="s">
        <v>129</v>
      </c>
      <c r="L136" s="87" t="str">
        <f>A133</f>
        <v>CM44</v>
      </c>
      <c r="M136" s="91"/>
      <c r="N136" s="87"/>
      <c r="O136" s="90"/>
    </row>
    <row r="137" ht="12.75" customHeight="1">
      <c r="A137" s="87" t="str">
        <f>L124</f>
        <v>CM13</v>
      </c>
      <c r="B137" s="87" t="str">
        <f t="shared" ref="B137:B138" si="109">TRUNC(F137,0)</f>
        <v>120</v>
      </c>
      <c r="C137" s="87" t="str">
        <f t="shared" ref="C137:C138" si="110">TRUNC((F137-B137)*60,0)</f>
        <v>35</v>
      </c>
      <c r="D137" s="88" t="str">
        <f t="shared" ref="D137:D138" si="111">ROUND(((F137-B137)-C137/60)*3600,0)</f>
        <v>49</v>
      </c>
      <c r="E137" s="88" t="str">
        <f>F137</f>
        <v>121</v>
      </c>
      <c r="F137" s="88" t="str">
        <f>I137+J137/60+K137/3600-(H137+G137)/3600</f>
        <v>121</v>
      </c>
      <c r="G137" s="89"/>
      <c r="H137" s="89">
        <v>-1.0</v>
      </c>
      <c r="I137" s="88" t="str">
        <f>IF(I133&lt;180,I133+180,I133-180)</f>
        <v>120</v>
      </c>
      <c r="J137" s="88" t="str">
        <f t="shared" ref="J137:K137" si="108">J133</f>
        <v>35</v>
      </c>
      <c r="K137" s="88" t="str">
        <f t="shared" si="108"/>
        <v>48</v>
      </c>
      <c r="L137" s="87"/>
      <c r="M137" s="91"/>
      <c r="N137" s="87"/>
      <c r="O137" s="90"/>
    </row>
    <row r="138" ht="12.75" customHeight="1">
      <c r="A138" s="87"/>
      <c r="B138" s="87" t="str">
        <f t="shared" si="109"/>
        <v>300</v>
      </c>
      <c r="C138" s="87" t="str">
        <f t="shared" si="110"/>
        <v>35</v>
      </c>
      <c r="D138" s="88" t="str">
        <f t="shared" si="111"/>
        <v>48</v>
      </c>
      <c r="E138" s="88" t="str">
        <f>E137-(B139+C139/60+D139/3600)</f>
        <v>-59</v>
      </c>
      <c r="F138" s="88" t="str">
        <f>IF(E138&gt;0,E138,E138+360)</f>
        <v>301</v>
      </c>
      <c r="G138" s="89"/>
      <c r="H138" s="89"/>
      <c r="I138" s="87"/>
      <c r="J138" s="87"/>
      <c r="K138" s="87"/>
      <c r="L138" s="87"/>
      <c r="M138" s="91"/>
      <c r="N138" s="87"/>
      <c r="O138" s="90"/>
    </row>
    <row r="139" ht="12.75" customHeight="1">
      <c r="A139" s="87"/>
      <c r="B139" s="87">
        <v>180.0</v>
      </c>
      <c r="C139" s="87">
        <v>0.0</v>
      </c>
      <c r="D139" s="88">
        <v>1.0</v>
      </c>
      <c r="E139" s="87"/>
      <c r="F139" s="87"/>
      <c r="G139" s="89"/>
      <c r="H139" s="89"/>
      <c r="I139" s="87"/>
      <c r="J139" s="87"/>
      <c r="K139" s="87"/>
      <c r="L139" s="87"/>
      <c r="M139" s="91"/>
      <c r="N139" s="87"/>
      <c r="O139" s="90"/>
    </row>
    <row r="140" ht="12.75" customHeight="1">
      <c r="A140" s="87"/>
      <c r="B140" s="87"/>
      <c r="C140" s="87"/>
      <c r="D140" s="88"/>
      <c r="E140" s="87"/>
      <c r="F140" s="87"/>
      <c r="G140" s="89"/>
      <c r="H140" s="89"/>
      <c r="I140" s="87"/>
      <c r="J140" s="87"/>
      <c r="K140" s="87"/>
      <c r="L140" s="87"/>
      <c r="M140" s="91"/>
      <c r="N140" s="87"/>
      <c r="O140" s="90"/>
    </row>
    <row r="141" ht="12.75" customHeight="1">
      <c r="A141" s="87" t="str">
        <f>TRVS!A58</f>
        <v>CM45</v>
      </c>
      <c r="B141" s="87" t="str">
        <f t="shared" ref="B141:B142" si="112">TRUNC(F141,0)</f>
        <v>305</v>
      </c>
      <c r="C141" s="87" t="str">
        <f t="shared" ref="C141:C142" si="113">TRUNC((F141-B141)*60,0)</f>
        <v>53</v>
      </c>
      <c r="D141" s="88" t="str">
        <f t="shared" ref="D141:D142" si="114">ROUND(((F141-B141)-C141/60)*3600,0)</f>
        <v>25</v>
      </c>
      <c r="E141" s="88" t="str">
        <f>F141</f>
        <v>306</v>
      </c>
      <c r="F141" s="88" t="str">
        <f>I141+J141/60+K141/3600-(H141+G141)/3600</f>
        <v>306</v>
      </c>
      <c r="G141" s="89" t="str">
        <f>ROUND(((B139+C139/60+D139/3600)-(B143+C143/60+D143/3600))/2*3600,0)</f>
        <v>1</v>
      </c>
      <c r="H141" s="89" t="str">
        <f>H137</f>
        <v>-1</v>
      </c>
      <c r="I141" s="88" t="str">
        <f>TRVS!B58</f>
        <v>305</v>
      </c>
      <c r="J141" s="88" t="str">
        <f>TRVS!C58</f>
        <v>53</v>
      </c>
      <c r="K141" s="88" t="str">
        <f>TRVS!D58</f>
        <v>25</v>
      </c>
      <c r="L141" s="87" t="str">
        <f>L136</f>
        <v>CM44</v>
      </c>
      <c r="M141" s="91" t="str">
        <f>TRVS!L58</f>
        <v>13.321</v>
      </c>
      <c r="N141" s="87" t="str">
        <f>A141</f>
        <v>CM45</v>
      </c>
      <c r="O141" s="90" t="str">
        <f>M141/$M$6</f>
        <v>13.329</v>
      </c>
    </row>
    <row r="142" ht="12.75" customHeight="1">
      <c r="A142" s="87"/>
      <c r="B142" s="87" t="str">
        <f t="shared" si="112"/>
        <v>125</v>
      </c>
      <c r="C142" s="87" t="str">
        <f t="shared" si="113"/>
        <v>53</v>
      </c>
      <c r="D142" s="88" t="str">
        <f t="shared" si="114"/>
        <v>27</v>
      </c>
      <c r="E142" s="88" t="str">
        <f>E141-(B143+C143/60+D143/3600)</f>
        <v>126</v>
      </c>
      <c r="F142" s="88" t="str">
        <f>IF(E142&gt;0,E142,E142+360)</f>
        <v>126</v>
      </c>
      <c r="G142" s="89"/>
      <c r="H142" s="89"/>
      <c r="I142" s="87"/>
      <c r="J142" s="87"/>
      <c r="K142" s="87"/>
      <c r="L142" s="87"/>
      <c r="M142" s="91"/>
      <c r="N142" s="87"/>
      <c r="O142" s="90"/>
    </row>
    <row r="143" ht="12.75" customHeight="1">
      <c r="A143" s="87"/>
      <c r="B143" s="87">
        <v>179.0</v>
      </c>
      <c r="C143" s="87">
        <v>59.0</v>
      </c>
      <c r="D143" s="88">
        <v>58.0</v>
      </c>
      <c r="E143" s="87"/>
      <c r="F143" s="87"/>
      <c r="G143" s="89"/>
      <c r="H143" s="89"/>
      <c r="I143" s="87"/>
      <c r="J143" s="87"/>
      <c r="K143" s="87"/>
      <c r="L143" s="87"/>
      <c r="M143" s="91"/>
      <c r="N143" s="87"/>
      <c r="O143" s="90"/>
    </row>
    <row r="144" ht="12.75" customHeight="1">
      <c r="A144" s="87"/>
      <c r="B144" s="87"/>
      <c r="C144" s="87"/>
      <c r="D144" s="88"/>
      <c r="E144" s="87"/>
      <c r="F144" s="87"/>
      <c r="G144" s="89"/>
      <c r="H144" s="89"/>
      <c r="I144" s="87"/>
      <c r="J144" s="87"/>
      <c r="K144" s="87" t="s">
        <v>129</v>
      </c>
      <c r="L144" s="87" t="str">
        <f>A141</f>
        <v>CM45</v>
      </c>
      <c r="M144" s="91"/>
      <c r="N144" s="87"/>
      <c r="O144" s="90"/>
    </row>
    <row r="145" ht="12.75" customHeight="1">
      <c r="A145" s="87" t="str">
        <f>L136</f>
        <v>CM44</v>
      </c>
      <c r="B145" s="87" t="str">
        <f t="shared" ref="B145:B146" si="116">TRUNC(F145,0)</f>
        <v>125</v>
      </c>
      <c r="C145" s="87" t="str">
        <f t="shared" ref="C145:C146" si="117">TRUNC((F145-B145)*60,0)</f>
        <v>53</v>
      </c>
      <c r="D145" s="88" t="str">
        <f t="shared" ref="D145:D146" si="118">ROUND(((F145-B145)-C145/60)*3600,0)</f>
        <v>25</v>
      </c>
      <c r="E145" s="88" t="str">
        <f>F145</f>
        <v>126</v>
      </c>
      <c r="F145" s="88" t="str">
        <f>I145+J145/60+K145/3600-(H145+G145)/3600</f>
        <v>126</v>
      </c>
      <c r="G145" s="89"/>
      <c r="H145" s="89">
        <v>0.0</v>
      </c>
      <c r="I145" s="88" t="str">
        <f>IF(I141&lt;180,I141+180,I141-180)</f>
        <v>125</v>
      </c>
      <c r="J145" s="88" t="str">
        <f t="shared" ref="J145:K145" si="115">J141</f>
        <v>53</v>
      </c>
      <c r="K145" s="88" t="str">
        <f t="shared" si="115"/>
        <v>25</v>
      </c>
      <c r="L145" s="87"/>
      <c r="M145" s="91"/>
      <c r="N145" s="87"/>
      <c r="O145" s="90"/>
    </row>
    <row r="146" ht="12.75" customHeight="1">
      <c r="A146" s="87"/>
      <c r="B146" s="87" t="str">
        <f t="shared" si="116"/>
        <v>305</v>
      </c>
      <c r="C146" s="87" t="str">
        <f t="shared" si="117"/>
        <v>53</v>
      </c>
      <c r="D146" s="88" t="str">
        <f t="shared" si="118"/>
        <v>20</v>
      </c>
      <c r="E146" s="88" t="str">
        <f>E145-(B147+C147/60+D147/3600)</f>
        <v>-54</v>
      </c>
      <c r="F146" s="88" t="str">
        <f>IF(E146&gt;0,E146,E146+360)</f>
        <v>306</v>
      </c>
      <c r="G146" s="89"/>
      <c r="H146" s="89"/>
      <c r="I146" s="87"/>
      <c r="J146" s="87"/>
      <c r="K146" s="87"/>
      <c r="L146" s="87"/>
      <c r="M146" s="91"/>
      <c r="N146" s="87"/>
      <c r="O146" s="90"/>
    </row>
    <row r="147" ht="12.75" customHeight="1">
      <c r="A147" s="87"/>
      <c r="B147" s="87">
        <v>180.0</v>
      </c>
      <c r="C147" s="87">
        <v>0.0</v>
      </c>
      <c r="D147" s="88">
        <v>5.0</v>
      </c>
      <c r="E147" s="87"/>
      <c r="F147" s="87"/>
      <c r="G147" s="89"/>
      <c r="H147" s="89"/>
      <c r="I147" s="87"/>
      <c r="J147" s="87"/>
      <c r="K147" s="87"/>
      <c r="L147" s="87"/>
      <c r="M147" s="91"/>
      <c r="N147" s="87"/>
      <c r="O147" s="90"/>
    </row>
    <row r="148" ht="12.75" customHeight="1">
      <c r="A148" s="87"/>
      <c r="B148" s="87"/>
      <c r="C148" s="87"/>
      <c r="D148" s="88"/>
      <c r="E148" s="87"/>
      <c r="F148" s="87"/>
      <c r="G148" s="89"/>
      <c r="H148" s="89"/>
      <c r="I148" s="87"/>
      <c r="J148" s="87"/>
      <c r="K148" s="87"/>
      <c r="L148" s="87"/>
      <c r="M148" s="91"/>
      <c r="N148" s="87"/>
      <c r="O148" s="90"/>
    </row>
    <row r="149" ht="12.75" customHeight="1">
      <c r="A149" s="87" t="str">
        <f>TRVS!A59</f>
        <v>CM46</v>
      </c>
      <c r="B149" s="87" t="str">
        <f t="shared" ref="B149:B150" si="119">TRUNC(F149,0)</f>
        <v>312</v>
      </c>
      <c r="C149" s="87" t="str">
        <f t="shared" ref="C149:C150" si="120">TRUNC((F149-B149)*60,0)</f>
        <v>57</v>
      </c>
      <c r="D149" s="88" t="str">
        <f t="shared" ref="D149:D150" si="121">ROUND(((F149-B149)-C149/60)*3600,0)</f>
        <v>15</v>
      </c>
      <c r="E149" s="88" t="str">
        <f>F149</f>
        <v>313</v>
      </c>
      <c r="F149" s="88" t="str">
        <f>I149+J149/60+K149/3600-(H149+G149)/3600</f>
        <v>313</v>
      </c>
      <c r="G149" s="89" t="str">
        <f>ROUND(((B147+C147/60+D147/3600)-(B151+C151/60+D151/3600))/2*3600,0)</f>
        <v>4</v>
      </c>
      <c r="H149" s="89" t="str">
        <f>H145</f>
        <v>0</v>
      </c>
      <c r="I149" s="88" t="str">
        <f>TRVS!B59</f>
        <v>312</v>
      </c>
      <c r="J149" s="88" t="str">
        <f>TRVS!C59</f>
        <v>57</v>
      </c>
      <c r="K149" s="88" t="str">
        <f>TRVS!D59</f>
        <v>19</v>
      </c>
      <c r="L149" s="87" t="str">
        <f>L144</f>
        <v>CM45</v>
      </c>
      <c r="M149" s="91" t="str">
        <f>TRVS!L59</f>
        <v>11.398</v>
      </c>
      <c r="N149" s="87" t="str">
        <f>A149</f>
        <v>CM46</v>
      </c>
      <c r="O149" s="90" t="str">
        <f>M149/$M$6</f>
        <v>11.404</v>
      </c>
    </row>
    <row r="150" ht="12.75" customHeight="1">
      <c r="A150" s="87"/>
      <c r="B150" s="87" t="str">
        <f t="shared" si="119"/>
        <v>132</v>
      </c>
      <c r="C150" s="87" t="str">
        <f t="shared" si="120"/>
        <v>57</v>
      </c>
      <c r="D150" s="88" t="str">
        <f t="shared" si="121"/>
        <v>17</v>
      </c>
      <c r="E150" s="88" t="str">
        <f>E149-(B151+C151/60+D151/3600)</f>
        <v>133</v>
      </c>
      <c r="F150" s="88" t="str">
        <f>IF(E150&gt;0,E150,E150+360)</f>
        <v>133</v>
      </c>
      <c r="G150" s="89"/>
      <c r="H150" s="89"/>
      <c r="I150" s="87"/>
      <c r="J150" s="87"/>
      <c r="K150" s="87"/>
      <c r="L150" s="87"/>
      <c r="M150" s="91"/>
      <c r="N150" s="87"/>
      <c r="O150" s="90"/>
    </row>
    <row r="151" ht="12.75" customHeight="1">
      <c r="A151" s="87"/>
      <c r="B151" s="87">
        <v>179.0</v>
      </c>
      <c r="C151" s="87">
        <v>59.0</v>
      </c>
      <c r="D151" s="88">
        <v>58.0</v>
      </c>
      <c r="E151" s="87"/>
      <c r="F151" s="87"/>
      <c r="G151" s="89"/>
      <c r="H151" s="89"/>
      <c r="I151" s="87"/>
      <c r="J151" s="87"/>
      <c r="K151" s="87"/>
      <c r="L151" s="87"/>
      <c r="M151" s="91"/>
      <c r="N151" s="87"/>
      <c r="O151" s="90"/>
    </row>
    <row r="152" ht="12.75" customHeight="1">
      <c r="A152" s="87"/>
      <c r="B152" s="87"/>
      <c r="C152" s="87"/>
      <c r="D152" s="88"/>
      <c r="E152" s="87"/>
      <c r="F152" s="87"/>
      <c r="G152" s="89"/>
      <c r="H152" s="89"/>
      <c r="I152" s="87"/>
      <c r="J152" s="87"/>
      <c r="K152" s="87" t="s">
        <v>129</v>
      </c>
      <c r="L152" s="87" t="str">
        <f>A149</f>
        <v>CM46</v>
      </c>
      <c r="M152" s="91"/>
      <c r="N152" s="87"/>
      <c r="O152" s="90"/>
    </row>
    <row r="153" ht="12.75" customHeight="1">
      <c r="A153" s="87" t="str">
        <f>L144</f>
        <v>CM45</v>
      </c>
      <c r="B153" s="87" t="str">
        <f t="shared" ref="B153:B154" si="123">TRUNC(F153,0)</f>
        <v>132</v>
      </c>
      <c r="C153" s="87" t="str">
        <f t="shared" ref="C153:C154" si="124">TRUNC((F153-B153)*60,0)</f>
        <v>57</v>
      </c>
      <c r="D153" s="88" t="str">
        <f t="shared" ref="D153:D154" si="125">ROUND(((F153-B153)-C153/60)*3600,0)</f>
        <v>18</v>
      </c>
      <c r="E153" s="88" t="str">
        <f>F153</f>
        <v>133</v>
      </c>
      <c r="F153" s="88" t="str">
        <f>I153+J153/60+K153/3600-(H153+G153)/3600</f>
        <v>133</v>
      </c>
      <c r="G153" s="89"/>
      <c r="H153" s="89">
        <v>1.0</v>
      </c>
      <c r="I153" s="88" t="str">
        <f>IF(I149&lt;180,I149+180,I149-180)</f>
        <v>132</v>
      </c>
      <c r="J153" s="88" t="str">
        <f t="shared" ref="J153:K153" si="122">J149</f>
        <v>57</v>
      </c>
      <c r="K153" s="88" t="str">
        <f t="shared" si="122"/>
        <v>19</v>
      </c>
      <c r="L153" s="87"/>
      <c r="M153" s="91"/>
      <c r="N153" s="87"/>
      <c r="O153" s="90"/>
    </row>
    <row r="154" ht="12.75" customHeight="1">
      <c r="A154" s="87"/>
      <c r="B154" s="87" t="str">
        <f t="shared" si="123"/>
        <v>312</v>
      </c>
      <c r="C154" s="87" t="str">
        <f t="shared" si="124"/>
        <v>57</v>
      </c>
      <c r="D154" s="88" t="str">
        <f t="shared" si="125"/>
        <v>17</v>
      </c>
      <c r="E154" s="88" t="str">
        <f>E153-(B155+C155/60+D155/3600)</f>
        <v>-47</v>
      </c>
      <c r="F154" s="88" t="str">
        <f>IF(E154&gt;0,E154,E154+360)</f>
        <v>313</v>
      </c>
      <c r="G154" s="89"/>
      <c r="H154" s="89"/>
      <c r="I154" s="87"/>
      <c r="J154" s="87"/>
      <c r="K154" s="87"/>
      <c r="L154" s="87"/>
      <c r="M154" s="91"/>
      <c r="N154" s="87"/>
      <c r="O154" s="90"/>
    </row>
    <row r="155" ht="12.75" customHeight="1">
      <c r="A155" s="87"/>
      <c r="B155" s="87">
        <v>180.0</v>
      </c>
      <c r="C155" s="87">
        <v>0.0</v>
      </c>
      <c r="D155" s="88">
        <v>1.0</v>
      </c>
      <c r="E155" s="87"/>
      <c r="F155" s="87"/>
      <c r="G155" s="89"/>
      <c r="H155" s="89"/>
      <c r="I155" s="87"/>
      <c r="J155" s="87"/>
      <c r="K155" s="87"/>
      <c r="L155" s="87"/>
      <c r="M155" s="91"/>
      <c r="N155" s="87"/>
      <c r="O155" s="90"/>
    </row>
    <row r="156" ht="12.75" customHeight="1">
      <c r="A156" s="87"/>
      <c r="B156" s="87"/>
      <c r="C156" s="87"/>
      <c r="D156" s="88"/>
      <c r="E156" s="87"/>
      <c r="F156" s="87"/>
      <c r="G156" s="89"/>
      <c r="H156" s="89"/>
      <c r="I156" s="87"/>
      <c r="J156" s="87"/>
      <c r="K156" s="87"/>
      <c r="L156" s="87"/>
      <c r="M156" s="91"/>
      <c r="N156" s="87"/>
      <c r="O156" s="90"/>
    </row>
    <row r="157" ht="12.75" customHeight="1">
      <c r="A157" s="87" t="str">
        <f>TRVS!A60</f>
        <v>CM47</v>
      </c>
      <c r="B157" s="87" t="str">
        <f t="shared" ref="B157:B158" si="126">TRUNC(F157,0)</f>
        <v>43</v>
      </c>
      <c r="C157" s="87" t="str">
        <f t="shared" ref="C157:C158" si="127">TRUNC((F157-B157)*60,0)</f>
        <v>22</v>
      </c>
      <c r="D157" s="88" t="str">
        <f t="shared" ref="D157:D158" si="128">ROUND(((F157-B157)-C157/60)*3600,0)</f>
        <v>58</v>
      </c>
      <c r="E157" s="88" t="str">
        <f>F157</f>
        <v>43</v>
      </c>
      <c r="F157" s="88" t="str">
        <f>I157+J157/60+K157/3600-(H157+G157)/3600</f>
        <v>43</v>
      </c>
      <c r="G157" s="89" t="str">
        <f>ROUND(((B155+C155/60+D155/3600)-(B159+C159/60+D159/3600))/2*3600,0)</f>
        <v>1</v>
      </c>
      <c r="H157" s="89" t="str">
        <f>H153</f>
        <v>1</v>
      </c>
      <c r="I157" s="88" t="str">
        <f>TRVS!B60</f>
        <v>43</v>
      </c>
      <c r="J157" s="88" t="str">
        <f>TRVS!C60</f>
        <v>23</v>
      </c>
      <c r="K157" s="88" t="str">
        <f>TRVS!D60</f>
        <v>0</v>
      </c>
      <c r="L157" s="87" t="str">
        <f>L152</f>
        <v>CM46</v>
      </c>
      <c r="M157" s="91" t="str">
        <f>TRVS!L60</f>
        <v>11.764</v>
      </c>
      <c r="N157" s="87" t="str">
        <f>A157</f>
        <v>CM47</v>
      </c>
      <c r="O157" s="90" t="str">
        <f>M157/$M$6</f>
        <v>11.771</v>
      </c>
    </row>
    <row r="158" ht="12.75" customHeight="1">
      <c r="A158" s="87"/>
      <c r="B158" s="87" t="str">
        <f t="shared" si="126"/>
        <v>223</v>
      </c>
      <c r="C158" s="87" t="str">
        <f t="shared" si="127"/>
        <v>22</v>
      </c>
      <c r="D158" s="88" t="str">
        <f t="shared" si="128"/>
        <v>60</v>
      </c>
      <c r="E158" s="88" t="str">
        <f>E157-(B159+C159/60+D159/3600)</f>
        <v>-137</v>
      </c>
      <c r="F158" s="88" t="str">
        <f>IF(E158&gt;0,E158,E158+360)</f>
        <v>223</v>
      </c>
      <c r="G158" s="89"/>
      <c r="H158" s="89"/>
      <c r="I158" s="87"/>
      <c r="J158" s="87"/>
      <c r="K158" s="87"/>
      <c r="L158" s="87"/>
      <c r="M158" s="91"/>
      <c r="N158" s="87"/>
      <c r="O158" s="90"/>
    </row>
    <row r="159" ht="12.75" customHeight="1">
      <c r="A159" s="87"/>
      <c r="B159" s="87">
        <v>179.0</v>
      </c>
      <c r="C159" s="87">
        <v>59.0</v>
      </c>
      <c r="D159" s="88">
        <v>58.0</v>
      </c>
      <c r="E159" s="87"/>
      <c r="F159" s="87"/>
      <c r="G159" s="89"/>
      <c r="H159" s="89"/>
      <c r="I159" s="87"/>
      <c r="J159" s="87"/>
      <c r="K159" s="87"/>
      <c r="L159" s="87"/>
      <c r="M159" s="91"/>
      <c r="N159" s="87"/>
      <c r="O159" s="90"/>
    </row>
    <row r="160" ht="12.75" customHeight="1">
      <c r="A160" s="87"/>
      <c r="B160" s="87"/>
      <c r="C160" s="87"/>
      <c r="D160" s="88"/>
      <c r="E160" s="87"/>
      <c r="F160" s="87"/>
      <c r="G160" s="89"/>
      <c r="H160" s="89"/>
      <c r="I160" s="87"/>
      <c r="J160" s="87"/>
      <c r="K160" s="87" t="s">
        <v>129</v>
      </c>
      <c r="L160" s="87" t="str">
        <f>A157</f>
        <v>CM47</v>
      </c>
      <c r="M160" s="91"/>
      <c r="N160" s="87"/>
      <c r="O160" s="90"/>
    </row>
    <row r="161" ht="12.75" customHeight="1">
      <c r="A161" s="87" t="str">
        <f>L152</f>
        <v>CM46</v>
      </c>
      <c r="B161" s="87" t="str">
        <f t="shared" ref="B161:B162" si="130">TRUNC(F161,0)</f>
        <v>223</v>
      </c>
      <c r="C161" s="87" t="str">
        <f t="shared" ref="C161:C162" si="131">TRUNC((F161-B161)*60,0)</f>
        <v>22</v>
      </c>
      <c r="D161" s="88" t="str">
        <f t="shared" ref="D161:D162" si="132">ROUND(((F161-B161)-C161/60)*3600,0)</f>
        <v>59</v>
      </c>
      <c r="E161" s="88" t="str">
        <f>F161</f>
        <v>223</v>
      </c>
      <c r="F161" s="88" t="str">
        <f>I161+J161/60+K161/3600-(H161+G161)/3600</f>
        <v>223</v>
      </c>
      <c r="G161" s="89"/>
      <c r="H161" s="89">
        <v>1.0</v>
      </c>
      <c r="I161" s="88" t="str">
        <f>IF(I157&lt;180,I157+180,I157-180)</f>
        <v>223</v>
      </c>
      <c r="J161" s="88" t="str">
        <f t="shared" ref="J161:K161" si="129">J157</f>
        <v>23</v>
      </c>
      <c r="K161" s="88" t="str">
        <f t="shared" si="129"/>
        <v>0</v>
      </c>
      <c r="L161" s="87"/>
      <c r="M161" s="91"/>
      <c r="N161" s="87"/>
      <c r="O161" s="90"/>
    </row>
    <row r="162" ht="12.75" customHeight="1">
      <c r="A162" s="87"/>
      <c r="B162" s="87" t="str">
        <f t="shared" si="130"/>
        <v>43</v>
      </c>
      <c r="C162" s="87" t="str">
        <f t="shared" si="131"/>
        <v>22</v>
      </c>
      <c r="D162" s="88" t="str">
        <f t="shared" si="132"/>
        <v>58</v>
      </c>
      <c r="E162" s="88" t="str">
        <f>E161-(B163+C163/60+D163/3600)</f>
        <v>43</v>
      </c>
      <c r="F162" s="88" t="str">
        <f>IF(E162&gt;0,E162,E162+360)</f>
        <v>43</v>
      </c>
      <c r="G162" s="89"/>
      <c r="H162" s="89"/>
      <c r="I162" s="87"/>
      <c r="J162" s="87"/>
      <c r="K162" s="87"/>
      <c r="L162" s="87"/>
      <c r="M162" s="91"/>
      <c r="N162" s="87"/>
      <c r="O162" s="90"/>
    </row>
    <row r="163" ht="12.75" customHeight="1">
      <c r="A163" s="87"/>
      <c r="B163" s="87">
        <v>180.0</v>
      </c>
      <c r="C163" s="87">
        <v>0.0</v>
      </c>
      <c r="D163" s="88">
        <v>1.0</v>
      </c>
      <c r="E163" s="87"/>
      <c r="F163" s="87"/>
      <c r="G163" s="89"/>
      <c r="H163" s="89"/>
      <c r="I163" s="87"/>
      <c r="J163" s="87"/>
      <c r="K163" s="87"/>
      <c r="L163" s="87"/>
      <c r="M163" s="91"/>
      <c r="N163" s="87"/>
      <c r="O163" s="90"/>
    </row>
    <row r="164" ht="12.75" customHeight="1">
      <c r="A164" s="87"/>
      <c r="B164" s="87"/>
      <c r="C164" s="87"/>
      <c r="D164" s="88"/>
      <c r="E164" s="87"/>
      <c r="F164" s="87"/>
      <c r="G164" s="89"/>
      <c r="H164" s="89"/>
      <c r="I164" s="87"/>
      <c r="J164" s="87"/>
      <c r="K164" s="87"/>
      <c r="L164" s="87"/>
      <c r="M164" s="91"/>
      <c r="N164" s="87"/>
      <c r="O164" s="90"/>
    </row>
    <row r="165" ht="12.75" customHeight="1">
      <c r="A165" s="87" t="str">
        <f>TRVS!A61</f>
        <v>CM48</v>
      </c>
      <c r="B165" s="87" t="str">
        <f t="shared" ref="B165:B166" si="133">TRUNC(F165,0)</f>
        <v>48</v>
      </c>
      <c r="C165" s="87" t="str">
        <f t="shared" ref="C165:C166" si="134">TRUNC((F165-B165)*60,0)</f>
        <v>41</v>
      </c>
      <c r="D165" s="88" t="str">
        <f t="shared" ref="D165:D166" si="135">ROUND(((F165-B165)-C165/60)*3600,0)</f>
        <v>10</v>
      </c>
      <c r="E165" s="88" t="str">
        <f>F165</f>
        <v>49</v>
      </c>
      <c r="F165" s="88" t="str">
        <f>I165+J165/60+K165/3600-(H165+G165)/3600</f>
        <v>49</v>
      </c>
      <c r="G165" s="89" t="str">
        <f>ROUND(((B163+C163/60+D163/3600)-(B167+C167/60+D167/3600))/2*3600,0)</f>
        <v>1</v>
      </c>
      <c r="H165" s="89" t="str">
        <f>H161</f>
        <v>1</v>
      </c>
      <c r="I165" s="88" t="str">
        <f>TRVS!B61</f>
        <v>48</v>
      </c>
      <c r="J165" s="88" t="str">
        <f>TRVS!C61</f>
        <v>41</v>
      </c>
      <c r="K165" s="88" t="str">
        <f>TRVS!D61</f>
        <v>12</v>
      </c>
      <c r="L165" s="87" t="str">
        <f>L160</f>
        <v>CM47</v>
      </c>
      <c r="M165" s="91" t="str">
        <f>TRVS!L61</f>
        <v>40.159</v>
      </c>
      <c r="N165" s="87" t="str">
        <f>A165</f>
        <v>CM48</v>
      </c>
      <c r="O165" s="90" t="str">
        <f>M165/$M$6</f>
        <v>40.182</v>
      </c>
    </row>
    <row r="166" ht="12.75" customHeight="1">
      <c r="A166" s="87"/>
      <c r="B166" s="87" t="str">
        <f t="shared" si="133"/>
        <v>228</v>
      </c>
      <c r="C166" s="87" t="str">
        <f t="shared" si="134"/>
        <v>41</v>
      </c>
      <c r="D166" s="88" t="str">
        <f t="shared" si="135"/>
        <v>12</v>
      </c>
      <c r="E166" s="88" t="str">
        <f>E165-(B167+C167/60+D167/3600)</f>
        <v>-131</v>
      </c>
      <c r="F166" s="88" t="str">
        <f>IF(E166&gt;0,E166,E166+360)</f>
        <v>229</v>
      </c>
      <c r="G166" s="89"/>
      <c r="H166" s="89"/>
      <c r="I166" s="87"/>
      <c r="J166" s="87"/>
      <c r="K166" s="87"/>
      <c r="L166" s="87"/>
      <c r="M166" s="91"/>
      <c r="N166" s="87"/>
      <c r="O166" s="90"/>
    </row>
    <row r="167" ht="12.75" customHeight="1">
      <c r="A167" s="87"/>
      <c r="B167" s="87">
        <v>179.0</v>
      </c>
      <c r="C167" s="87">
        <v>59.0</v>
      </c>
      <c r="D167" s="88">
        <v>58.0</v>
      </c>
      <c r="E167" s="87"/>
      <c r="F167" s="87"/>
      <c r="G167" s="89"/>
      <c r="H167" s="89"/>
      <c r="I167" s="87"/>
      <c r="J167" s="87"/>
      <c r="K167" s="87"/>
      <c r="L167" s="87"/>
      <c r="M167" s="91"/>
      <c r="N167" s="87"/>
      <c r="O167" s="90"/>
    </row>
    <row r="168" ht="12.75" customHeight="1">
      <c r="A168" s="87"/>
      <c r="B168" s="87"/>
      <c r="C168" s="87"/>
      <c r="D168" s="88"/>
      <c r="E168" s="87"/>
      <c r="F168" s="87"/>
      <c r="G168" s="89"/>
      <c r="H168" s="89"/>
      <c r="I168" s="87"/>
      <c r="J168" s="87"/>
      <c r="K168" s="87" t="s">
        <v>129</v>
      </c>
      <c r="L168" s="87" t="str">
        <f>A165</f>
        <v>CM48</v>
      </c>
      <c r="M168" s="91"/>
      <c r="N168" s="87"/>
      <c r="O168" s="90"/>
    </row>
    <row r="169" ht="12.75" customHeight="1">
      <c r="A169" s="87" t="str">
        <f>L160</f>
        <v>CM47</v>
      </c>
      <c r="B169" s="87" t="str">
        <f t="shared" ref="B169:B170" si="137">TRUNC(F169,0)</f>
        <v>228</v>
      </c>
      <c r="C169" s="87" t="str">
        <f t="shared" ref="C169:C170" si="138">TRUNC((F169-B169)*60,0)</f>
        <v>41</v>
      </c>
      <c r="D169" s="88" t="str">
        <f t="shared" ref="D169:D170" si="139">ROUND(((F169-B169)-C169/60)*3600,0)</f>
        <v>11</v>
      </c>
      <c r="E169" s="88" t="str">
        <f>F169</f>
        <v>229</v>
      </c>
      <c r="F169" s="88" t="str">
        <f>I169+J169/60+K169/3600-(H169+G169)/3600</f>
        <v>229</v>
      </c>
      <c r="G169" s="89"/>
      <c r="H169" s="89">
        <v>1.0</v>
      </c>
      <c r="I169" s="88" t="str">
        <f>IF(I165&lt;180,I165+180,I165-180)</f>
        <v>228</v>
      </c>
      <c r="J169" s="88" t="str">
        <f t="shared" ref="J169:K169" si="136">J165</f>
        <v>41</v>
      </c>
      <c r="K169" s="88" t="str">
        <f t="shared" si="136"/>
        <v>12</v>
      </c>
      <c r="L169" s="87"/>
      <c r="M169" s="91"/>
      <c r="N169" s="87"/>
      <c r="O169" s="90"/>
    </row>
    <row r="170" ht="12.75" customHeight="1">
      <c r="A170" s="87"/>
      <c r="B170" s="87" t="str">
        <f t="shared" si="137"/>
        <v>48</v>
      </c>
      <c r="C170" s="87" t="str">
        <f t="shared" si="138"/>
        <v>41</v>
      </c>
      <c r="D170" s="88" t="str">
        <f t="shared" si="139"/>
        <v>10</v>
      </c>
      <c r="E170" s="88" t="str">
        <f>E169-(B171+C171/60+D171/3600)</f>
        <v>49</v>
      </c>
      <c r="F170" s="88" t="str">
        <f>IF(E170&gt;0,E170,E170+360)</f>
        <v>49</v>
      </c>
      <c r="G170" s="89"/>
      <c r="H170" s="89"/>
      <c r="I170" s="87"/>
      <c r="J170" s="87"/>
      <c r="K170" s="87"/>
      <c r="L170" s="87"/>
      <c r="M170" s="91"/>
      <c r="N170" s="87"/>
      <c r="O170" s="90"/>
    </row>
    <row r="171" ht="12.75" customHeight="1">
      <c r="A171" s="87"/>
      <c r="B171" s="87">
        <v>180.0</v>
      </c>
      <c r="C171" s="87">
        <v>0.0</v>
      </c>
      <c r="D171" s="88">
        <v>1.0</v>
      </c>
      <c r="E171" s="87"/>
      <c r="F171" s="87"/>
      <c r="G171" s="89"/>
      <c r="H171" s="89"/>
      <c r="I171" s="87"/>
      <c r="J171" s="87"/>
      <c r="K171" s="87"/>
      <c r="L171" s="87"/>
      <c r="M171" s="91"/>
      <c r="N171" s="87"/>
      <c r="O171" s="90"/>
    </row>
    <row r="172" ht="12.75" customHeight="1">
      <c r="A172" s="87"/>
      <c r="B172" s="87"/>
      <c r="C172" s="87"/>
      <c r="D172" s="88"/>
      <c r="E172" s="87"/>
      <c r="F172" s="87"/>
      <c r="G172" s="89"/>
      <c r="H172" s="89"/>
      <c r="I172" s="87"/>
      <c r="J172" s="87"/>
      <c r="K172" s="87"/>
      <c r="L172" s="87"/>
      <c r="M172" s="91"/>
      <c r="N172" s="87"/>
      <c r="O172" s="90"/>
    </row>
    <row r="173" ht="12.75" customHeight="1">
      <c r="A173" s="87" t="str">
        <f>TRVS!A62</f>
        <v>CM49</v>
      </c>
      <c r="B173" s="87" t="str">
        <f t="shared" ref="B173:B174" si="140">TRUNC(F173,0)</f>
        <v>155</v>
      </c>
      <c r="C173" s="87" t="str">
        <f t="shared" ref="C173:C174" si="141">TRUNC((F173-B173)*60,0)</f>
        <v>50</v>
      </c>
      <c r="D173" s="88" t="str">
        <f t="shared" ref="D173:D174" si="142">ROUND(((F173-B173)-C173/60)*3600,0)</f>
        <v>42</v>
      </c>
      <c r="E173" s="88" t="str">
        <f>F173</f>
        <v>156</v>
      </c>
      <c r="F173" s="88" t="str">
        <f>I173+J173/60+K173/3600-(H173+G173)/3600</f>
        <v>156</v>
      </c>
      <c r="G173" s="89" t="str">
        <f>ROUND(((B171+C171/60+D171/3600)-(B175+C175/60+D175/3600))/2*3600,0)</f>
        <v>-3</v>
      </c>
      <c r="H173" s="89" t="str">
        <f>H169</f>
        <v>1</v>
      </c>
      <c r="I173" s="88" t="str">
        <f>TRVS!B62</f>
        <v>155</v>
      </c>
      <c r="J173" s="88" t="str">
        <f>TRVS!C62</f>
        <v>50</v>
      </c>
      <c r="K173" s="88" t="str">
        <f>TRVS!D62</f>
        <v>40</v>
      </c>
      <c r="L173" s="87" t="str">
        <f>L168</f>
        <v>CM48</v>
      </c>
      <c r="M173" s="91" t="str">
        <f>TRVS!L62</f>
        <v>8.942</v>
      </c>
      <c r="N173" s="87" t="str">
        <f>A173</f>
        <v>CM49</v>
      </c>
      <c r="O173" s="90" t="str">
        <f>M173/$M$6</f>
        <v>8.947</v>
      </c>
    </row>
    <row r="174" ht="12.75" customHeight="1">
      <c r="A174" s="87"/>
      <c r="B174" s="87" t="str">
        <f t="shared" si="140"/>
        <v>335</v>
      </c>
      <c r="C174" s="87" t="str">
        <f t="shared" si="141"/>
        <v>50</v>
      </c>
      <c r="D174" s="88" t="str">
        <f t="shared" si="142"/>
        <v>35</v>
      </c>
      <c r="E174" s="88" t="str">
        <f>E173-(B175+C175/60+D175/3600)</f>
        <v>-24</v>
      </c>
      <c r="F174" s="88" t="str">
        <f>IF(E174&gt;0,E174,E174+360)</f>
        <v>336</v>
      </c>
      <c r="G174" s="89"/>
      <c r="H174" s="89"/>
      <c r="I174" s="87"/>
      <c r="J174" s="87"/>
      <c r="K174" s="87"/>
      <c r="L174" s="87"/>
      <c r="M174" s="91"/>
      <c r="N174" s="87"/>
      <c r="O174" s="90"/>
    </row>
    <row r="175" ht="12.75" customHeight="1">
      <c r="A175" s="87"/>
      <c r="B175" s="87">
        <v>180.0</v>
      </c>
      <c r="C175" s="87">
        <v>0.0</v>
      </c>
      <c r="D175" s="88">
        <v>7.0</v>
      </c>
      <c r="E175" s="87"/>
      <c r="F175" s="87"/>
      <c r="G175" s="89"/>
      <c r="H175" s="89"/>
      <c r="I175" s="87"/>
      <c r="J175" s="87"/>
      <c r="K175" s="87"/>
      <c r="L175" s="87"/>
      <c r="M175" s="91"/>
      <c r="N175" s="87"/>
      <c r="O175" s="90"/>
    </row>
    <row r="176" ht="12.75" customHeight="1">
      <c r="A176" s="87"/>
      <c r="B176" s="87"/>
      <c r="C176" s="87"/>
      <c r="D176" s="88"/>
      <c r="E176" s="87"/>
      <c r="F176" s="87"/>
      <c r="G176" s="89"/>
      <c r="H176" s="89"/>
      <c r="I176" s="87"/>
      <c r="J176" s="87"/>
      <c r="K176" s="87" t="s">
        <v>129</v>
      </c>
      <c r="L176" s="87" t="str">
        <f>A173</f>
        <v>CM49</v>
      </c>
      <c r="M176" s="91"/>
      <c r="N176" s="87"/>
      <c r="O176" s="90"/>
    </row>
    <row r="177" ht="12.75" customHeight="1">
      <c r="A177" s="87" t="str">
        <f>L168</f>
        <v>CM48</v>
      </c>
      <c r="B177" s="87" t="str">
        <f t="shared" ref="B177:B178" si="144">TRUNC(F177,0)</f>
        <v>335</v>
      </c>
      <c r="C177" s="87" t="str">
        <f t="shared" ref="C177:C178" si="145">TRUNC((F177-B177)*60,0)</f>
        <v>50</v>
      </c>
      <c r="D177" s="88" t="str">
        <f t="shared" ref="D177:D178" si="146">ROUND(((F177-B177)-C177/60)*3600,0)</f>
        <v>41</v>
      </c>
      <c r="E177" s="88" t="str">
        <f>F177</f>
        <v>336</v>
      </c>
      <c r="F177" s="88" t="str">
        <f>I177+J177/60+K177/3600-(H177+G177)/3600</f>
        <v>336</v>
      </c>
      <c r="G177" s="89"/>
      <c r="H177" s="89">
        <v>-1.0</v>
      </c>
      <c r="I177" s="88" t="str">
        <f>IF(I173&lt;180,I173+180,I173-180)</f>
        <v>335</v>
      </c>
      <c r="J177" s="88" t="str">
        <f t="shared" ref="J177:K177" si="143">J173</f>
        <v>50</v>
      </c>
      <c r="K177" s="88" t="str">
        <f t="shared" si="143"/>
        <v>40</v>
      </c>
      <c r="L177" s="87"/>
      <c r="M177" s="91"/>
      <c r="N177" s="87"/>
      <c r="O177" s="90"/>
    </row>
    <row r="178" ht="12.75" customHeight="1">
      <c r="A178" s="87"/>
      <c r="B178" s="87" t="str">
        <f t="shared" si="144"/>
        <v>155</v>
      </c>
      <c r="C178" s="87" t="str">
        <f t="shared" si="145"/>
        <v>50</v>
      </c>
      <c r="D178" s="88" t="str">
        <f t="shared" si="146"/>
        <v>40</v>
      </c>
      <c r="E178" s="88" t="str">
        <f>E177-(B179+C179/60+D179/3600)</f>
        <v>156</v>
      </c>
      <c r="F178" s="88" t="str">
        <f>IF(E178&gt;0,E178,E178+360)</f>
        <v>156</v>
      </c>
      <c r="G178" s="89"/>
      <c r="H178" s="89"/>
      <c r="I178" s="87"/>
      <c r="J178" s="87"/>
      <c r="K178" s="87"/>
      <c r="L178" s="87"/>
      <c r="M178" s="91"/>
      <c r="N178" s="87"/>
      <c r="O178" s="90"/>
    </row>
    <row r="179" ht="12.75" customHeight="1">
      <c r="A179" s="87"/>
      <c r="B179" s="87">
        <v>180.0</v>
      </c>
      <c r="C179" s="87">
        <v>0.0</v>
      </c>
      <c r="D179" s="88">
        <v>1.0</v>
      </c>
      <c r="E179" s="87"/>
      <c r="F179" s="87"/>
      <c r="G179" s="89"/>
      <c r="H179" s="89"/>
      <c r="I179" s="87"/>
      <c r="J179" s="87"/>
      <c r="K179" s="87"/>
      <c r="L179" s="87"/>
      <c r="M179" s="91"/>
      <c r="N179" s="87"/>
      <c r="O179" s="90"/>
    </row>
    <row r="180" ht="12.75" customHeight="1">
      <c r="A180" s="87"/>
      <c r="B180" s="87"/>
      <c r="C180" s="87"/>
      <c r="D180" s="88"/>
      <c r="E180" s="87"/>
      <c r="F180" s="87"/>
      <c r="G180" s="89"/>
      <c r="H180" s="89"/>
      <c r="I180" s="87"/>
      <c r="J180" s="87"/>
      <c r="K180" s="87"/>
      <c r="L180" s="87"/>
      <c r="M180" s="91"/>
      <c r="N180" s="87"/>
      <c r="O180" s="90"/>
    </row>
    <row r="181" ht="12.75" customHeight="1">
      <c r="A181" s="87" t="str">
        <f>TRVS!A63</f>
        <v>CM50</v>
      </c>
      <c r="B181" s="87" t="str">
        <f t="shared" ref="B181:B182" si="147">TRUNC(F181,0)</f>
        <v>142</v>
      </c>
      <c r="C181" s="87" t="str">
        <f t="shared" ref="C181:C182" si="148">TRUNC((F181-B181)*60,0)</f>
        <v>26</v>
      </c>
      <c r="D181" s="88" t="str">
        <f t="shared" ref="D181:D182" si="149">ROUND(((F181-B181)-C181/60)*3600,0)</f>
        <v>17</v>
      </c>
      <c r="E181" s="88" t="str">
        <f>F181</f>
        <v>142</v>
      </c>
      <c r="F181" s="88" t="str">
        <f>I181+J181/60+K181/3600-(H181+G181)/3600</f>
        <v>142</v>
      </c>
      <c r="G181" s="89" t="str">
        <f>ROUND(((B179+C179/60+D179/3600)-(B183+C183/60+D183/3600))/2*3600,0)</f>
        <v>3</v>
      </c>
      <c r="H181" s="89" t="str">
        <f>H177</f>
        <v>-1</v>
      </c>
      <c r="I181" s="88" t="str">
        <f>TRVS!B63</f>
        <v>142</v>
      </c>
      <c r="J181" s="88" t="str">
        <f>TRVS!C63</f>
        <v>26</v>
      </c>
      <c r="K181" s="88" t="str">
        <f>TRVS!D63</f>
        <v>19</v>
      </c>
      <c r="L181" s="87" t="str">
        <f>L176</f>
        <v>CM49</v>
      </c>
      <c r="M181" s="91" t="str">
        <f>TRVS!L63</f>
        <v>20.657</v>
      </c>
      <c r="N181" s="87" t="str">
        <f>A181</f>
        <v>CM50</v>
      </c>
      <c r="O181" s="90" t="str">
        <f>M181/$M$6</f>
        <v>20.668</v>
      </c>
    </row>
    <row r="182" ht="12.75" customHeight="1">
      <c r="A182" s="87"/>
      <c r="B182" s="87" t="str">
        <f t="shared" si="147"/>
        <v>322</v>
      </c>
      <c r="C182" s="87" t="str">
        <f t="shared" si="148"/>
        <v>26</v>
      </c>
      <c r="D182" s="88" t="str">
        <f t="shared" si="149"/>
        <v>21</v>
      </c>
      <c r="E182" s="88" t="str">
        <f>E181-(B183+C183/60+D183/3600)</f>
        <v>-38</v>
      </c>
      <c r="F182" s="88" t="str">
        <f>IF(E182&gt;0,E182,E182+360)</f>
        <v>322</v>
      </c>
      <c r="G182" s="89"/>
      <c r="H182" s="89"/>
      <c r="I182" s="87"/>
      <c r="J182" s="87"/>
      <c r="K182" s="87"/>
      <c r="L182" s="87"/>
      <c r="M182" s="91"/>
      <c r="N182" s="87"/>
      <c r="O182" s="90"/>
    </row>
    <row r="183" ht="12.75" customHeight="1">
      <c r="A183" s="87"/>
      <c r="B183" s="87">
        <v>179.0</v>
      </c>
      <c r="C183" s="87">
        <v>59.0</v>
      </c>
      <c r="D183" s="88">
        <v>56.0</v>
      </c>
      <c r="E183" s="87"/>
      <c r="F183" s="87"/>
      <c r="G183" s="89"/>
      <c r="H183" s="89"/>
      <c r="I183" s="87"/>
      <c r="J183" s="87"/>
      <c r="K183" s="87"/>
      <c r="L183" s="87"/>
      <c r="M183" s="91"/>
      <c r="N183" s="87"/>
      <c r="O183" s="90"/>
    </row>
    <row r="184" ht="12.75" customHeight="1">
      <c r="A184" s="87"/>
      <c r="B184" s="87"/>
      <c r="C184" s="87"/>
      <c r="D184" s="88"/>
      <c r="E184" s="87"/>
      <c r="F184" s="87"/>
      <c r="G184" s="89"/>
      <c r="H184" s="89"/>
      <c r="I184" s="87"/>
      <c r="J184" s="87"/>
      <c r="K184" s="87" t="s">
        <v>129</v>
      </c>
      <c r="L184" s="87" t="str">
        <f>A181</f>
        <v>CM50</v>
      </c>
      <c r="M184" s="91"/>
      <c r="N184" s="87"/>
      <c r="O184" s="90"/>
    </row>
    <row r="185" ht="12.75" customHeight="1">
      <c r="A185" s="87" t="str">
        <f>L176</f>
        <v>CM49</v>
      </c>
      <c r="B185" s="87" t="str">
        <f t="shared" ref="B185:B186" si="151">TRUNC(F185,0)</f>
        <v>322</v>
      </c>
      <c r="C185" s="87" t="str">
        <f t="shared" ref="C185:C186" si="152">TRUNC((F185-B185)*60,0)</f>
        <v>26</v>
      </c>
      <c r="D185" s="88" t="str">
        <f t="shared" ref="D185:D186" si="153">ROUND(((F185-B185)-C185/60)*3600,0)</f>
        <v>20</v>
      </c>
      <c r="E185" s="88" t="str">
        <f>F185</f>
        <v>322</v>
      </c>
      <c r="F185" s="88" t="str">
        <f>I185+J185/60+K185/3600-(H185+G185)/3600</f>
        <v>322</v>
      </c>
      <c r="G185" s="89"/>
      <c r="H185" s="89">
        <v>-1.0</v>
      </c>
      <c r="I185" s="88" t="str">
        <f>IF(I181&lt;180,I181+180,I181-180)</f>
        <v>322</v>
      </c>
      <c r="J185" s="88" t="str">
        <f t="shared" ref="J185:K185" si="150">J181</f>
        <v>26</v>
      </c>
      <c r="K185" s="88" t="str">
        <f t="shared" si="150"/>
        <v>19</v>
      </c>
      <c r="L185" s="87"/>
      <c r="M185" s="91"/>
      <c r="N185" s="87"/>
      <c r="O185" s="90"/>
    </row>
    <row r="186" ht="12.75" customHeight="1">
      <c r="A186" s="87"/>
      <c r="B186" s="87" t="str">
        <f t="shared" si="151"/>
        <v>142</v>
      </c>
      <c r="C186" s="87" t="str">
        <f t="shared" si="152"/>
        <v>26</v>
      </c>
      <c r="D186" s="88" t="str">
        <f t="shared" si="153"/>
        <v>19</v>
      </c>
      <c r="E186" s="88" t="str">
        <f>E185-(B187+C187/60+D187/3600)</f>
        <v>142</v>
      </c>
      <c r="F186" s="88" t="str">
        <f>IF(E186&gt;0,E186,E186+360)</f>
        <v>142</v>
      </c>
      <c r="G186" s="89"/>
      <c r="H186" s="89"/>
      <c r="I186" s="87"/>
      <c r="J186" s="87"/>
      <c r="K186" s="87"/>
      <c r="L186" s="87"/>
      <c r="M186" s="91"/>
      <c r="N186" s="87"/>
      <c r="O186" s="90"/>
    </row>
    <row r="187" ht="12.75" customHeight="1">
      <c r="A187" s="87"/>
      <c r="B187" s="87">
        <v>180.0</v>
      </c>
      <c r="C187" s="87">
        <v>0.0</v>
      </c>
      <c r="D187" s="88">
        <v>1.0</v>
      </c>
      <c r="E187" s="87"/>
      <c r="F187" s="87"/>
      <c r="G187" s="89"/>
      <c r="H187" s="89"/>
      <c r="I187" s="87"/>
      <c r="J187" s="87"/>
      <c r="K187" s="87"/>
      <c r="L187" s="87"/>
      <c r="M187" s="91"/>
      <c r="N187" s="87"/>
      <c r="O187" s="90"/>
    </row>
    <row r="188" ht="12.75" customHeight="1">
      <c r="A188" s="87"/>
      <c r="B188" s="87"/>
      <c r="C188" s="87"/>
      <c r="D188" s="88"/>
      <c r="E188" s="87"/>
      <c r="F188" s="87"/>
      <c r="G188" s="89"/>
      <c r="H188" s="89"/>
      <c r="I188" s="87"/>
      <c r="J188" s="87"/>
      <c r="K188" s="87"/>
      <c r="L188" s="87"/>
      <c r="M188" s="91"/>
      <c r="N188" s="87"/>
      <c r="O188" s="90"/>
    </row>
    <row r="189" ht="12.75" customHeight="1">
      <c r="A189" s="87" t="str">
        <f>TRVS!A64</f>
        <v>CM51</v>
      </c>
      <c r="B189" s="87" t="str">
        <f t="shared" ref="B189:B190" si="154">TRUNC(F189,0)</f>
        <v>142</v>
      </c>
      <c r="C189" s="87" t="str">
        <f t="shared" ref="C189:C190" si="155">TRUNC((F189-B189)*60,0)</f>
        <v>14</v>
      </c>
      <c r="D189" s="88" t="str">
        <f t="shared" ref="D189:D190" si="156">ROUND(((F189-B189)-C189/60)*3600,0)</f>
        <v>2</v>
      </c>
      <c r="E189" s="88" t="str">
        <f>F189</f>
        <v>142</v>
      </c>
      <c r="F189" s="88" t="str">
        <f>I189+J189/60+K189/3600-(H189+G189)/3600</f>
        <v>142</v>
      </c>
      <c r="G189" s="89" t="str">
        <f>ROUND(((B187+C187/60+D187/3600)-(B191+C191/60+D191/3600))/2*3600,0)</f>
        <v>1</v>
      </c>
      <c r="H189" s="89" t="str">
        <f>H185</f>
        <v>-1</v>
      </c>
      <c r="I189" s="88" t="str">
        <f>TRVS!B64</f>
        <v>142</v>
      </c>
      <c r="J189" s="88" t="str">
        <f>TRVS!C64</f>
        <v>14</v>
      </c>
      <c r="K189" s="88" t="str">
        <f>TRVS!D64</f>
        <v>2</v>
      </c>
      <c r="L189" s="87" t="str">
        <f>L184</f>
        <v>CM50</v>
      </c>
      <c r="M189" s="91" t="str">
        <f>TRVS!L64</f>
        <v>44.169</v>
      </c>
      <c r="N189" s="87" t="str">
        <f>A189</f>
        <v>CM51</v>
      </c>
      <c r="O189" s="90" t="str">
        <f>M189/$M$6</f>
        <v>44.194</v>
      </c>
    </row>
    <row r="190" ht="12.75" customHeight="1">
      <c r="A190" s="87"/>
      <c r="B190" s="87" t="str">
        <f t="shared" si="154"/>
        <v>322</v>
      </c>
      <c r="C190" s="87" t="str">
        <f t="shared" si="155"/>
        <v>14</v>
      </c>
      <c r="D190" s="88" t="str">
        <f t="shared" si="156"/>
        <v>4</v>
      </c>
      <c r="E190" s="88" t="str">
        <f>E189-(B191+C191/60+D191/3600)</f>
        <v>-38</v>
      </c>
      <c r="F190" s="88" t="str">
        <f>IF(E190&gt;0,E190,E190+360)</f>
        <v>322</v>
      </c>
      <c r="G190" s="89"/>
      <c r="H190" s="89"/>
      <c r="I190" s="87"/>
      <c r="J190" s="87"/>
      <c r="K190" s="87"/>
      <c r="L190" s="87"/>
      <c r="M190" s="91"/>
      <c r="N190" s="87"/>
      <c r="O190" s="90"/>
    </row>
    <row r="191" ht="12.75" customHeight="1">
      <c r="A191" s="87"/>
      <c r="B191" s="87">
        <v>179.0</v>
      </c>
      <c r="C191" s="87">
        <v>59.0</v>
      </c>
      <c r="D191" s="88">
        <v>58.0</v>
      </c>
      <c r="E191" s="87"/>
      <c r="F191" s="87"/>
      <c r="G191" s="89"/>
      <c r="H191" s="89"/>
      <c r="I191" s="87"/>
      <c r="J191" s="87"/>
      <c r="K191" s="87"/>
      <c r="L191" s="87"/>
      <c r="M191" s="91"/>
      <c r="N191" s="87"/>
      <c r="O191" s="90"/>
    </row>
    <row r="192" ht="12.75" customHeight="1">
      <c r="A192" s="87"/>
      <c r="B192" s="87"/>
      <c r="C192" s="87"/>
      <c r="D192" s="88"/>
      <c r="E192" s="87"/>
      <c r="F192" s="87"/>
      <c r="G192" s="89"/>
      <c r="H192" s="89"/>
      <c r="I192" s="87"/>
      <c r="J192" s="87"/>
      <c r="K192" s="87" t="s">
        <v>129</v>
      </c>
      <c r="L192" s="87" t="str">
        <f>A189</f>
        <v>CM51</v>
      </c>
      <c r="M192" s="91"/>
      <c r="N192" s="87"/>
      <c r="O192" s="90"/>
    </row>
    <row r="193" ht="12.75" customHeight="1">
      <c r="A193" s="87" t="str">
        <f>L184</f>
        <v>CM50</v>
      </c>
      <c r="B193" s="87" t="str">
        <f t="shared" ref="B193:B194" si="158">TRUNC(F193,0)</f>
        <v>322</v>
      </c>
      <c r="C193" s="87" t="str">
        <f t="shared" ref="C193:C194" si="159">TRUNC((F193-B193)*60,0)</f>
        <v>14</v>
      </c>
      <c r="D193" s="88" t="str">
        <f t="shared" ref="D193:D194" si="160">ROUND(((F193-B193)-C193/60)*3600,0)</f>
        <v>3</v>
      </c>
      <c r="E193" s="88" t="str">
        <f>F193</f>
        <v>322</v>
      </c>
      <c r="F193" s="88" t="str">
        <f>I193+J193/60+K193/3600-(H193+G193)/3600</f>
        <v>322</v>
      </c>
      <c r="G193" s="89"/>
      <c r="H193" s="89">
        <v>-1.0</v>
      </c>
      <c r="I193" s="88" t="str">
        <f>IF(I189&lt;180,I189+180,I189-180)</f>
        <v>322</v>
      </c>
      <c r="J193" s="88" t="str">
        <f t="shared" ref="J193:K193" si="157">J189</f>
        <v>14</v>
      </c>
      <c r="K193" s="88" t="str">
        <f t="shared" si="157"/>
        <v>2</v>
      </c>
      <c r="L193" s="87"/>
      <c r="M193" s="91"/>
      <c r="N193" s="87"/>
      <c r="O193" s="90"/>
    </row>
    <row r="194" ht="12.75" customHeight="1">
      <c r="A194" s="87"/>
      <c r="B194" s="87" t="str">
        <f t="shared" si="158"/>
        <v>142</v>
      </c>
      <c r="C194" s="87" t="str">
        <f t="shared" si="159"/>
        <v>14</v>
      </c>
      <c r="D194" s="88" t="str">
        <f t="shared" si="160"/>
        <v>2</v>
      </c>
      <c r="E194" s="88" t="str">
        <f>E193-(B195+C195/60+D195/3600)</f>
        <v>142</v>
      </c>
      <c r="F194" s="88" t="str">
        <f>IF(E194&gt;0,E194,E194+360)</f>
        <v>142</v>
      </c>
      <c r="G194" s="89"/>
      <c r="H194" s="89"/>
      <c r="I194" s="87"/>
      <c r="J194" s="87"/>
      <c r="K194" s="87"/>
      <c r="L194" s="87"/>
      <c r="M194" s="91"/>
      <c r="N194" s="87"/>
      <c r="O194" s="90"/>
    </row>
    <row r="195" ht="12.75" customHeight="1">
      <c r="A195" s="87"/>
      <c r="B195" s="87">
        <v>180.0</v>
      </c>
      <c r="C195" s="87">
        <v>0.0</v>
      </c>
      <c r="D195" s="88">
        <v>1.0</v>
      </c>
      <c r="E195" s="87"/>
      <c r="F195" s="87"/>
      <c r="G195" s="89"/>
      <c r="H195" s="89"/>
      <c r="I195" s="87"/>
      <c r="J195" s="87"/>
      <c r="K195" s="87"/>
      <c r="L195" s="87"/>
      <c r="M195" s="91"/>
      <c r="N195" s="87"/>
      <c r="O195" s="90"/>
    </row>
    <row r="196" ht="12.75" customHeight="1">
      <c r="A196" s="87"/>
      <c r="B196" s="87"/>
      <c r="C196" s="87"/>
      <c r="D196" s="88"/>
      <c r="E196" s="87"/>
      <c r="F196" s="87"/>
      <c r="G196" s="89"/>
      <c r="H196" s="89"/>
      <c r="I196" s="87"/>
      <c r="J196" s="87"/>
      <c r="K196" s="87"/>
      <c r="L196" s="87"/>
      <c r="M196" s="91"/>
      <c r="N196" s="87"/>
      <c r="O196" s="90"/>
    </row>
    <row r="197" ht="12.75" customHeight="1">
      <c r="A197" s="87" t="str">
        <f>TRVS!A65</f>
        <v>CM52</v>
      </c>
      <c r="B197" s="87" t="str">
        <f t="shared" ref="B197:B198" si="161">TRUNC(F197,0)</f>
        <v>142</v>
      </c>
      <c r="C197" s="87" t="str">
        <f t="shared" ref="C197:C198" si="162">TRUNC((F197-B197)*60,0)</f>
        <v>48</v>
      </c>
      <c r="D197" s="88" t="str">
        <f t="shared" ref="D197:D198" si="163">ROUND(((F197-B197)-C197/60)*3600,0)</f>
        <v>18</v>
      </c>
      <c r="E197" s="88" t="str">
        <f>F197</f>
        <v>143</v>
      </c>
      <c r="F197" s="88" t="str">
        <f>I197+J197/60+K197/3600-(H197+G197)/3600</f>
        <v>143</v>
      </c>
      <c r="G197" s="89" t="str">
        <f>ROUND(((B195+C195/60+D195/3600)-(B199+C199/60+D199/3600))/2*3600,0)</f>
        <v>1</v>
      </c>
      <c r="H197" s="89" t="str">
        <f>H193</f>
        <v>-1</v>
      </c>
      <c r="I197" s="88" t="str">
        <f>TRVS!B65</f>
        <v>142</v>
      </c>
      <c r="J197" s="88" t="str">
        <f>TRVS!C65</f>
        <v>48</v>
      </c>
      <c r="K197" s="88" t="str">
        <f>TRVS!D65</f>
        <v>18</v>
      </c>
      <c r="L197" s="87" t="str">
        <f>L192</f>
        <v>CM51</v>
      </c>
      <c r="M197" s="91" t="str">
        <f>TRVS!L65</f>
        <v>29.586</v>
      </c>
      <c r="N197" s="87" t="str">
        <f>A197</f>
        <v>CM52</v>
      </c>
      <c r="O197" s="90" t="str">
        <f>M197/$M$6</f>
        <v>29.603</v>
      </c>
    </row>
    <row r="198" ht="12.75" customHeight="1">
      <c r="A198" s="87"/>
      <c r="B198" s="87" t="str">
        <f t="shared" si="161"/>
        <v>322</v>
      </c>
      <c r="C198" s="87" t="str">
        <f t="shared" si="162"/>
        <v>48</v>
      </c>
      <c r="D198" s="88" t="str">
        <f t="shared" si="163"/>
        <v>20</v>
      </c>
      <c r="E198" s="88" t="str">
        <f>E197-(B199+C199/60+D199/3600)</f>
        <v>-37</v>
      </c>
      <c r="F198" s="88" t="str">
        <f>IF(E198&gt;0,E198,E198+360)</f>
        <v>323</v>
      </c>
      <c r="G198" s="89"/>
      <c r="H198" s="89"/>
      <c r="I198" s="87"/>
      <c r="J198" s="87"/>
      <c r="K198" s="87"/>
      <c r="L198" s="87"/>
      <c r="M198" s="91"/>
      <c r="N198" s="87"/>
      <c r="O198" s="90"/>
    </row>
    <row r="199" ht="12.75" customHeight="1">
      <c r="A199" s="87"/>
      <c r="B199" s="87">
        <v>179.0</v>
      </c>
      <c r="C199" s="87">
        <v>59.0</v>
      </c>
      <c r="D199" s="88">
        <v>58.0</v>
      </c>
      <c r="E199" s="87"/>
      <c r="F199" s="87"/>
      <c r="G199" s="89"/>
      <c r="H199" s="89"/>
      <c r="I199" s="87"/>
      <c r="J199" s="87"/>
      <c r="K199" s="87"/>
      <c r="L199" s="87"/>
      <c r="M199" s="91"/>
      <c r="N199" s="87"/>
      <c r="O199" s="90"/>
    </row>
    <row r="200" ht="12.75" customHeight="1">
      <c r="A200" s="87"/>
      <c r="B200" s="87"/>
      <c r="C200" s="87"/>
      <c r="D200" s="88"/>
      <c r="E200" s="87"/>
      <c r="F200" s="87"/>
      <c r="G200" s="89"/>
      <c r="H200" s="89"/>
      <c r="I200" s="87"/>
      <c r="J200" s="87"/>
      <c r="K200" s="87" t="s">
        <v>129</v>
      </c>
      <c r="L200" s="87" t="str">
        <f>A197</f>
        <v>CM52</v>
      </c>
      <c r="M200" s="91"/>
      <c r="N200" s="87"/>
      <c r="O200" s="90"/>
    </row>
    <row r="201" ht="12.75" customHeight="1">
      <c r="A201" s="87" t="str">
        <f>L192</f>
        <v>CM51</v>
      </c>
      <c r="B201" s="87" t="str">
        <f t="shared" ref="B201:B202" si="165">TRUNC(F201,0)</f>
        <v>322</v>
      </c>
      <c r="C201" s="87" t="str">
        <f t="shared" ref="C201:C202" si="166">TRUNC((F201-B201)*60,0)</f>
        <v>48</v>
      </c>
      <c r="D201" s="88" t="str">
        <f t="shared" ref="D201:D202" si="167">ROUND(((F201-B201)-C201/60)*3600,0)</f>
        <v>19</v>
      </c>
      <c r="E201" s="88" t="str">
        <f>F201</f>
        <v>323</v>
      </c>
      <c r="F201" s="88" t="str">
        <f>I201+J201/60+K201/3600-(H201+G201)/3600</f>
        <v>323</v>
      </c>
      <c r="G201" s="89"/>
      <c r="H201" s="89">
        <v>-1.0</v>
      </c>
      <c r="I201" s="88" t="str">
        <f>IF(I197&lt;180,I197+180,I197-180)</f>
        <v>322</v>
      </c>
      <c r="J201" s="88" t="str">
        <f t="shared" ref="J201:K201" si="164">J197</f>
        <v>48</v>
      </c>
      <c r="K201" s="88" t="str">
        <f t="shared" si="164"/>
        <v>18</v>
      </c>
      <c r="L201" s="87"/>
      <c r="M201" s="91"/>
      <c r="N201" s="87"/>
      <c r="O201" s="90"/>
    </row>
    <row r="202" ht="12.75" customHeight="1">
      <c r="A202" s="87"/>
      <c r="B202" s="87" t="str">
        <f t="shared" si="165"/>
        <v>142</v>
      </c>
      <c r="C202" s="87" t="str">
        <f t="shared" si="166"/>
        <v>48</v>
      </c>
      <c r="D202" s="88" t="str">
        <f t="shared" si="167"/>
        <v>18</v>
      </c>
      <c r="E202" s="88" t="str">
        <f>E201-(B203+C203/60+D203/3600)</f>
        <v>143</v>
      </c>
      <c r="F202" s="88" t="str">
        <f>IF(E202&gt;0,E202,E202+360)</f>
        <v>143</v>
      </c>
      <c r="G202" s="89"/>
      <c r="H202" s="89"/>
      <c r="I202" s="87"/>
      <c r="J202" s="87"/>
      <c r="K202" s="87"/>
      <c r="L202" s="87"/>
      <c r="M202" s="91"/>
      <c r="N202" s="87"/>
      <c r="O202" s="90"/>
    </row>
    <row r="203" ht="12.75" customHeight="1">
      <c r="A203" s="87"/>
      <c r="B203" s="87">
        <v>180.0</v>
      </c>
      <c r="C203" s="87">
        <v>0.0</v>
      </c>
      <c r="D203" s="88">
        <v>1.0</v>
      </c>
      <c r="E203" s="87"/>
      <c r="F203" s="87"/>
      <c r="G203" s="89"/>
      <c r="H203" s="89"/>
      <c r="I203" s="87"/>
      <c r="J203" s="87"/>
      <c r="K203" s="87"/>
      <c r="L203" s="87"/>
      <c r="M203" s="91"/>
      <c r="N203" s="87"/>
      <c r="O203" s="90"/>
    </row>
    <row r="204" ht="12.75" customHeight="1">
      <c r="A204" s="87"/>
      <c r="B204" s="87"/>
      <c r="C204" s="87"/>
      <c r="D204" s="88"/>
      <c r="E204" s="87"/>
      <c r="F204" s="87"/>
      <c r="G204" s="89"/>
      <c r="H204" s="89"/>
      <c r="I204" s="87"/>
      <c r="J204" s="87"/>
      <c r="K204" s="87"/>
      <c r="L204" s="87"/>
      <c r="M204" s="91"/>
      <c r="N204" s="87"/>
      <c r="O204" s="90"/>
    </row>
    <row r="205" ht="12.75" customHeight="1">
      <c r="A205" s="87" t="str">
        <f>TRVS!A66</f>
        <v>CM53</v>
      </c>
      <c r="B205" s="87" t="str">
        <f t="shared" ref="B205:B206" si="168">TRUNC(F205,0)</f>
        <v>52</v>
      </c>
      <c r="C205" s="87" t="str">
        <f t="shared" ref="C205:C206" si="169">TRUNC((F205-B205)*60,0)</f>
        <v>34</v>
      </c>
      <c r="D205" s="88" t="str">
        <f t="shared" ref="D205:D206" si="170">ROUND(((F205-B205)-C205/60)*3600,0)</f>
        <v>1</v>
      </c>
      <c r="E205" s="88" t="str">
        <f>F205</f>
        <v>53</v>
      </c>
      <c r="F205" s="88" t="str">
        <f>I205+J205/60+K205/3600-(H205+G205)/3600</f>
        <v>53</v>
      </c>
      <c r="G205" s="89" t="str">
        <f>ROUND(((B203+C203/60+D203/3600)-(B207+C207/60+D207/3600))/2*3600,0)</f>
        <v>1</v>
      </c>
      <c r="H205" s="89" t="str">
        <f>H201</f>
        <v>-1</v>
      </c>
      <c r="I205" s="88" t="str">
        <f>TRVS!B66</f>
        <v>52</v>
      </c>
      <c r="J205" s="88" t="str">
        <f>TRVS!C66</f>
        <v>34</v>
      </c>
      <c r="K205" s="88" t="str">
        <f>TRVS!D66</f>
        <v>1</v>
      </c>
      <c r="L205" s="87" t="str">
        <f>L200</f>
        <v>CM52</v>
      </c>
      <c r="M205" s="91" t="str">
        <f>TRVS!L66</f>
        <v>5.540</v>
      </c>
      <c r="N205" s="87" t="str">
        <f>A205</f>
        <v>CM53</v>
      </c>
      <c r="O205" s="90" t="str">
        <f>M205/$M$6</f>
        <v>5.543</v>
      </c>
    </row>
    <row r="206" ht="12.75" customHeight="1">
      <c r="A206" s="87"/>
      <c r="B206" s="87" t="str">
        <f t="shared" si="168"/>
        <v>232</v>
      </c>
      <c r="C206" s="87" t="str">
        <f t="shared" si="169"/>
        <v>34</v>
      </c>
      <c r="D206" s="88" t="str">
        <f t="shared" si="170"/>
        <v>3</v>
      </c>
      <c r="E206" s="88" t="str">
        <f>E205-(B207+C207/60+D207/3600)</f>
        <v>-127</v>
      </c>
      <c r="F206" s="88" t="str">
        <f>IF(E206&gt;0,E206,E206+360)</f>
        <v>233</v>
      </c>
      <c r="G206" s="89"/>
      <c r="H206" s="89"/>
      <c r="I206" s="87"/>
      <c r="J206" s="87"/>
      <c r="K206" s="87"/>
      <c r="L206" s="87"/>
      <c r="M206" s="91"/>
      <c r="N206" s="87"/>
      <c r="O206" s="90"/>
    </row>
    <row r="207" ht="12.75" customHeight="1">
      <c r="A207" s="87"/>
      <c r="B207" s="87">
        <v>179.0</v>
      </c>
      <c r="C207" s="87">
        <v>59.0</v>
      </c>
      <c r="D207" s="88">
        <v>58.0</v>
      </c>
      <c r="E207" s="87"/>
      <c r="F207" s="87"/>
      <c r="G207" s="89"/>
      <c r="H207" s="89"/>
      <c r="I207" s="87"/>
      <c r="J207" s="87"/>
      <c r="K207" s="87"/>
      <c r="L207" s="87"/>
      <c r="M207" s="91"/>
      <c r="N207" s="87"/>
      <c r="O207" s="90"/>
    </row>
    <row r="208" ht="12.75" customHeight="1">
      <c r="A208" s="87"/>
      <c r="B208" s="87"/>
      <c r="C208" s="87"/>
      <c r="D208" s="88"/>
      <c r="E208" s="87"/>
      <c r="F208" s="87"/>
      <c r="G208" s="89"/>
      <c r="H208" s="89"/>
      <c r="I208" s="87"/>
      <c r="J208" s="87"/>
      <c r="K208" s="87" t="s">
        <v>129</v>
      </c>
      <c r="L208" s="87" t="str">
        <f>A205</f>
        <v>CM53</v>
      </c>
      <c r="M208" s="91"/>
      <c r="N208" s="87"/>
      <c r="O208" s="90"/>
    </row>
    <row r="209" ht="12.75" customHeight="1">
      <c r="A209" s="87" t="str">
        <f>L200</f>
        <v>CM52</v>
      </c>
      <c r="B209" s="87" t="str">
        <f t="shared" ref="B209:B210" si="172">TRUNC(F209,0)</f>
        <v>232</v>
      </c>
      <c r="C209" s="87" t="str">
        <f t="shared" ref="C209:C210" si="173">TRUNC((F209-B209)*60,0)</f>
        <v>33</v>
      </c>
      <c r="D209" s="88" t="str">
        <f t="shared" ref="D209:D210" si="174">ROUND(((F209-B209)-C209/60)*3600,0)</f>
        <v>58</v>
      </c>
      <c r="E209" s="88" t="str">
        <f>F209</f>
        <v>233</v>
      </c>
      <c r="F209" s="88" t="str">
        <f>I209+J209/60+K209/3600-(H209+G209)/3600</f>
        <v>233</v>
      </c>
      <c r="G209" s="89"/>
      <c r="H209" s="89">
        <v>3.0</v>
      </c>
      <c r="I209" s="88" t="str">
        <f>IF(I205&lt;180,I205+180,I205-180)</f>
        <v>232</v>
      </c>
      <c r="J209" s="88" t="str">
        <f t="shared" ref="J209:K209" si="171">J205</f>
        <v>34</v>
      </c>
      <c r="K209" s="88" t="str">
        <f t="shared" si="171"/>
        <v>1</v>
      </c>
      <c r="L209" s="87"/>
      <c r="M209" s="91"/>
      <c r="N209" s="87"/>
      <c r="O209" s="90"/>
    </row>
    <row r="210" ht="12.75" customHeight="1">
      <c r="A210" s="87"/>
      <c r="B210" s="87" t="str">
        <f t="shared" si="172"/>
        <v>32</v>
      </c>
      <c r="C210" s="87" t="str">
        <f t="shared" si="173"/>
        <v>33</v>
      </c>
      <c r="D210" s="88" t="str">
        <f t="shared" si="174"/>
        <v>57</v>
      </c>
      <c r="E210" s="88" t="str">
        <f>E209-(B211+C211/60+D211/3600)</f>
        <v>33</v>
      </c>
      <c r="F210" s="88" t="str">
        <f>IF(E210&gt;0,E210,E210+360)</f>
        <v>33</v>
      </c>
      <c r="G210" s="89"/>
      <c r="H210" s="89"/>
      <c r="I210" s="87"/>
      <c r="J210" s="87"/>
      <c r="K210" s="87"/>
      <c r="L210" s="87"/>
      <c r="M210" s="91"/>
      <c r="N210" s="87"/>
      <c r="O210" s="90"/>
    </row>
    <row r="211" ht="12.75" customHeight="1">
      <c r="A211" s="87"/>
      <c r="B211" s="87">
        <v>200.0</v>
      </c>
      <c r="C211" s="87">
        <v>0.0</v>
      </c>
      <c r="D211" s="88">
        <v>1.0</v>
      </c>
      <c r="E211" s="87"/>
      <c r="F211" s="87"/>
      <c r="G211" s="89"/>
      <c r="H211" s="89"/>
      <c r="I211" s="87"/>
      <c r="J211" s="87"/>
      <c r="K211" s="87"/>
      <c r="L211" s="87"/>
      <c r="M211" s="91"/>
      <c r="N211" s="87"/>
      <c r="O211" s="90"/>
    </row>
    <row r="212" ht="12.75" customHeight="1">
      <c r="A212" s="87"/>
      <c r="B212" s="87"/>
      <c r="C212" s="87"/>
      <c r="D212" s="88"/>
      <c r="E212" s="87"/>
      <c r="F212" s="87"/>
      <c r="G212" s="89"/>
      <c r="H212" s="89"/>
      <c r="I212" s="87"/>
      <c r="J212" s="87"/>
      <c r="K212" s="87"/>
      <c r="L212" s="87"/>
      <c r="M212" s="91"/>
      <c r="N212" s="87"/>
      <c r="O212" s="90"/>
    </row>
    <row r="213" ht="12.75" customHeight="1">
      <c r="A213" s="87" t="str">
        <f>TRVS!A67</f>
        <v>CM54</v>
      </c>
      <c r="B213" s="87" t="str">
        <f t="shared" ref="B213:B214" si="175">TRUNC(F213,0)</f>
        <v>134</v>
      </c>
      <c r="C213" s="87" t="str">
        <f t="shared" ref="C213:C214" si="176">TRUNC((F213-B213)*60,0)</f>
        <v>2</v>
      </c>
      <c r="D213" s="88" t="str">
        <f t="shared" ref="D213:D214" si="177">ROUND(((F213-B213)-C213/60)*3600,0)</f>
        <v>41</v>
      </c>
      <c r="E213" s="88" t="str">
        <f>F213</f>
        <v>134</v>
      </c>
      <c r="F213" s="88" t="str">
        <f>I213+J213/60+K213/3600-(H213+G213)/3600</f>
        <v>134</v>
      </c>
      <c r="G213" s="89" t="str">
        <f>ROUND(((B211+C211/60+D211/3600)-(B215+C215/60+D215/3600))/2*3600,0)</f>
        <v>-1</v>
      </c>
      <c r="H213" s="89" t="str">
        <f>H209</f>
        <v>3</v>
      </c>
      <c r="I213" s="88" t="str">
        <f>TRVS!B67</f>
        <v>134</v>
      </c>
      <c r="J213" s="88" t="str">
        <f>TRVS!C67</f>
        <v>2</v>
      </c>
      <c r="K213" s="88" t="str">
        <f>TRVS!D67</f>
        <v>43</v>
      </c>
      <c r="L213" s="87" t="str">
        <f>L208</f>
        <v>CM53</v>
      </c>
      <c r="M213" s="91" t="str">
        <f>TRVS!L67</f>
        <v>32.930</v>
      </c>
      <c r="N213" s="87" t="str">
        <f>A213</f>
        <v>CM54</v>
      </c>
      <c r="O213" s="90" t="str">
        <f>M213/$M$6</f>
        <v>32.949</v>
      </c>
    </row>
    <row r="214" ht="12.75" customHeight="1">
      <c r="A214" s="87"/>
      <c r="B214" s="87" t="str">
        <f t="shared" si="175"/>
        <v>294</v>
      </c>
      <c r="C214" s="87" t="str">
        <f t="shared" si="176"/>
        <v>2</v>
      </c>
      <c r="D214" s="88" t="str">
        <f t="shared" si="177"/>
        <v>39</v>
      </c>
      <c r="E214" s="88" t="str">
        <f>E213-(B215+C215/60+D215/3600)</f>
        <v>-66</v>
      </c>
      <c r="F214" s="88" t="str">
        <f>IF(E214&gt;0,E214,E214+360)</f>
        <v>294</v>
      </c>
      <c r="G214" s="89"/>
      <c r="H214" s="89"/>
      <c r="I214" s="87"/>
      <c r="J214" s="87"/>
      <c r="K214" s="87"/>
      <c r="L214" s="87"/>
      <c r="M214" s="91"/>
      <c r="N214" s="87"/>
      <c r="O214" s="90"/>
    </row>
    <row r="215" ht="12.75" customHeight="1">
      <c r="A215" s="87"/>
      <c r="B215" s="87">
        <v>200.0</v>
      </c>
      <c r="C215" s="87">
        <v>0.0</v>
      </c>
      <c r="D215" s="88">
        <v>2.0</v>
      </c>
      <c r="E215" s="87"/>
      <c r="F215" s="87"/>
      <c r="G215" s="89"/>
      <c r="H215" s="89"/>
      <c r="I215" s="87"/>
      <c r="J215" s="87"/>
      <c r="K215" s="87"/>
      <c r="L215" s="87"/>
      <c r="M215" s="91"/>
      <c r="N215" s="87"/>
      <c r="O215" s="90"/>
    </row>
    <row r="216" ht="12.75" customHeight="1">
      <c r="A216" s="87"/>
      <c r="B216" s="87"/>
      <c r="C216" s="87"/>
      <c r="D216" s="88"/>
      <c r="E216" s="87"/>
      <c r="F216" s="87"/>
      <c r="G216" s="89"/>
      <c r="H216" s="89"/>
      <c r="I216" s="87"/>
      <c r="J216" s="87"/>
      <c r="K216" s="87" t="s">
        <v>129</v>
      </c>
      <c r="L216" s="87" t="str">
        <f>A213</f>
        <v>CM54</v>
      </c>
      <c r="M216" s="91"/>
      <c r="N216" s="87"/>
      <c r="O216" s="90"/>
    </row>
    <row r="217" ht="12.75" customHeight="1">
      <c r="A217" s="87" t="str">
        <f>L208</f>
        <v>CM53</v>
      </c>
      <c r="B217" s="87" t="str">
        <f t="shared" ref="B217:B218" si="179">TRUNC(F217,0)</f>
        <v>314</v>
      </c>
      <c r="C217" s="87" t="str">
        <f t="shared" ref="C217:C218" si="180">TRUNC((F217-B217)*60,0)</f>
        <v>2</v>
      </c>
      <c r="D217" s="88" t="str">
        <f t="shared" ref="D217:D218" si="181">ROUND(((F217-B217)-C217/60)*3600,0)</f>
        <v>42</v>
      </c>
      <c r="E217" s="88" t="str">
        <f>F217</f>
        <v>314</v>
      </c>
      <c r="F217" s="88" t="str">
        <f>I217+J217/60+K217/3600-(H217+G217)/3600</f>
        <v>314</v>
      </c>
      <c r="G217" s="89"/>
      <c r="H217" s="89">
        <v>1.0</v>
      </c>
      <c r="I217" s="88" t="str">
        <f>IF(I213&lt;180,I213+180,I213-180)</f>
        <v>314</v>
      </c>
      <c r="J217" s="88" t="str">
        <f t="shared" ref="J217:K217" si="178">J213</f>
        <v>2</v>
      </c>
      <c r="K217" s="88" t="str">
        <f t="shared" si="178"/>
        <v>43</v>
      </c>
      <c r="L217" s="87"/>
      <c r="M217" s="91"/>
      <c r="N217" s="87"/>
      <c r="O217" s="90"/>
    </row>
    <row r="218" ht="12.75" customHeight="1">
      <c r="A218" s="87"/>
      <c r="B218" s="87" t="str">
        <f t="shared" si="179"/>
        <v>134</v>
      </c>
      <c r="C218" s="87" t="str">
        <f t="shared" si="180"/>
        <v>2</v>
      </c>
      <c r="D218" s="88" t="str">
        <f t="shared" si="181"/>
        <v>41</v>
      </c>
      <c r="E218" s="88" t="str">
        <f>E217-(B219+C219/60+D219/3600)</f>
        <v>134</v>
      </c>
      <c r="F218" s="88" t="str">
        <f>IF(E218&gt;0,E218,E218+360)</f>
        <v>134</v>
      </c>
      <c r="G218" s="89"/>
      <c r="H218" s="89"/>
      <c r="I218" s="87"/>
      <c r="J218" s="87"/>
      <c r="K218" s="87"/>
      <c r="L218" s="87"/>
      <c r="M218" s="91"/>
      <c r="N218" s="87"/>
      <c r="O218" s="90"/>
    </row>
    <row r="219" ht="12.75" customHeight="1">
      <c r="A219" s="87"/>
      <c r="B219" s="87">
        <v>180.0</v>
      </c>
      <c r="C219" s="87">
        <v>0.0</v>
      </c>
      <c r="D219" s="88">
        <v>1.0</v>
      </c>
      <c r="E219" s="87"/>
      <c r="F219" s="87"/>
      <c r="G219" s="89"/>
      <c r="H219" s="89"/>
      <c r="I219" s="87"/>
      <c r="J219" s="87"/>
      <c r="K219" s="87"/>
      <c r="L219" s="87"/>
      <c r="M219" s="91"/>
      <c r="N219" s="87"/>
      <c r="O219" s="90"/>
    </row>
    <row r="220" ht="12.75" customHeight="1">
      <c r="A220" s="87"/>
      <c r="B220" s="87"/>
      <c r="C220" s="87"/>
      <c r="D220" s="88"/>
      <c r="E220" s="87"/>
      <c r="F220" s="87"/>
      <c r="G220" s="89"/>
      <c r="H220" s="89"/>
      <c r="I220" s="87"/>
      <c r="J220" s="87"/>
      <c r="K220" s="87"/>
      <c r="L220" s="87"/>
      <c r="M220" s="91"/>
      <c r="N220" s="87"/>
      <c r="O220" s="90"/>
    </row>
    <row r="221" ht="12.75" customHeight="1">
      <c r="A221" s="87" t="str">
        <f>TRVS!A68</f>
        <v>CM55</v>
      </c>
      <c r="B221" s="87" t="str">
        <f t="shared" ref="B221:B222" si="182">TRUNC(F221,0)</f>
        <v>178</v>
      </c>
      <c r="C221" s="87" t="str">
        <f t="shared" ref="C221:C222" si="183">TRUNC((F221-B221)*60,0)</f>
        <v>16</v>
      </c>
      <c r="D221" s="88" t="str">
        <f t="shared" ref="D221:D222" si="184">ROUND(((F221-B221)-C221/60)*3600,0)</f>
        <v>18</v>
      </c>
      <c r="E221" s="88" t="str">
        <f>F221</f>
        <v>178</v>
      </c>
      <c r="F221" s="88" t="str">
        <f>I221+J221/60+K221/3600-(H221+G221)/3600</f>
        <v>178</v>
      </c>
      <c r="G221" s="89" t="str">
        <f>ROUND(((B219+C219/60+D219/3600)-(B223+C223/60+D223/3600))/2*3600,0)</f>
        <v>-3</v>
      </c>
      <c r="H221" s="89" t="str">
        <f>H217</f>
        <v>1</v>
      </c>
      <c r="I221" s="88" t="str">
        <f>TRVS!B68</f>
        <v>178</v>
      </c>
      <c r="J221" s="88" t="str">
        <f>TRVS!C68</f>
        <v>16</v>
      </c>
      <c r="K221" s="88" t="str">
        <f>TRVS!D68</f>
        <v>16</v>
      </c>
      <c r="L221" s="87" t="str">
        <f>L216</f>
        <v>CM54</v>
      </c>
      <c r="M221" s="91" t="str">
        <f>TRVS!L66</f>
        <v>5.540</v>
      </c>
      <c r="N221" s="87" t="str">
        <f>A221</f>
        <v>CM55</v>
      </c>
      <c r="O221" s="90" t="str">
        <f>M221/$M$6</f>
        <v>5.543</v>
      </c>
    </row>
    <row r="222" ht="12.75" customHeight="1">
      <c r="A222" s="87"/>
      <c r="B222" s="87" t="str">
        <f t="shared" si="182"/>
        <v>358</v>
      </c>
      <c r="C222" s="87" t="str">
        <f t="shared" si="183"/>
        <v>16</v>
      </c>
      <c r="D222" s="88" t="str">
        <f t="shared" si="184"/>
        <v>11</v>
      </c>
      <c r="E222" s="88" t="str">
        <f>E221-(B223+C223/60+D223/3600)</f>
        <v>-2</v>
      </c>
      <c r="F222" s="88" t="str">
        <f>IF(E222&gt;0,E222,E222+360)</f>
        <v>358</v>
      </c>
      <c r="G222" s="89"/>
      <c r="H222" s="89"/>
      <c r="I222" s="87"/>
      <c r="J222" s="87"/>
      <c r="K222" s="87"/>
      <c r="L222" s="87"/>
      <c r="M222" s="91"/>
      <c r="N222" s="87"/>
      <c r="O222" s="90"/>
    </row>
    <row r="223" ht="12.75" customHeight="1">
      <c r="A223" s="87"/>
      <c r="B223" s="87">
        <v>180.0</v>
      </c>
      <c r="C223" s="87">
        <v>0.0</v>
      </c>
      <c r="D223" s="88">
        <v>7.0</v>
      </c>
      <c r="E223" s="87"/>
      <c r="F223" s="87"/>
      <c r="G223" s="89"/>
      <c r="H223" s="89"/>
      <c r="I223" s="87"/>
      <c r="J223" s="87"/>
      <c r="K223" s="87"/>
      <c r="L223" s="87"/>
      <c r="M223" s="91"/>
      <c r="N223" s="87"/>
      <c r="O223" s="90"/>
    </row>
    <row r="224" ht="12.75" customHeight="1">
      <c r="A224" s="87"/>
      <c r="B224" s="87"/>
      <c r="C224" s="87"/>
      <c r="D224" s="88"/>
      <c r="E224" s="87"/>
      <c r="F224" s="87"/>
      <c r="G224" s="89"/>
      <c r="H224" s="89"/>
      <c r="I224" s="87"/>
      <c r="J224" s="87"/>
      <c r="K224" s="87" t="s">
        <v>129</v>
      </c>
      <c r="L224" s="87" t="str">
        <f>A221</f>
        <v>CM55</v>
      </c>
      <c r="M224" s="91"/>
      <c r="N224" s="87"/>
      <c r="O224" s="90"/>
    </row>
    <row r="225" ht="12.75" customHeight="1">
      <c r="A225" s="87" t="str">
        <f>L216</f>
        <v>CM54</v>
      </c>
      <c r="B225" s="87" t="str">
        <f t="shared" ref="B225:B226" si="186">TRUNC(F225,0)</f>
        <v>358</v>
      </c>
      <c r="C225" s="87" t="str">
        <f t="shared" ref="C225:C226" si="187">TRUNC((F225-B225)*60,0)</f>
        <v>16</v>
      </c>
      <c r="D225" s="88" t="str">
        <f t="shared" ref="D225:D226" si="188">ROUND(((F225-B225)-C225/60)*3600,0)</f>
        <v>17</v>
      </c>
      <c r="E225" s="88" t="str">
        <f>F225</f>
        <v>358</v>
      </c>
      <c r="F225" s="88" t="str">
        <f>I225+J225/60+K225/3600-(H225+G225)/3600</f>
        <v>358</v>
      </c>
      <c r="G225" s="89"/>
      <c r="H225" s="89">
        <v>-1.0</v>
      </c>
      <c r="I225" s="88" t="str">
        <f>IF(I221&lt;180,I221+180,I221-180)</f>
        <v>358</v>
      </c>
      <c r="J225" s="88" t="str">
        <f t="shared" ref="J225:K225" si="185">J221</f>
        <v>16</v>
      </c>
      <c r="K225" s="88" t="str">
        <f t="shared" si="185"/>
        <v>16</v>
      </c>
      <c r="L225" s="87"/>
      <c r="M225" s="91"/>
      <c r="N225" s="87"/>
      <c r="O225" s="90"/>
    </row>
    <row r="226" ht="12.75" customHeight="1">
      <c r="A226" s="87"/>
      <c r="B226" s="87" t="str">
        <f t="shared" si="186"/>
        <v>178</v>
      </c>
      <c r="C226" s="87" t="str">
        <f t="shared" si="187"/>
        <v>16</v>
      </c>
      <c r="D226" s="88" t="str">
        <f t="shared" si="188"/>
        <v>16</v>
      </c>
      <c r="E226" s="88" t="str">
        <f>E225-(B227+C227/60+D227/3600)</f>
        <v>178</v>
      </c>
      <c r="F226" s="88" t="str">
        <f>IF(E226&gt;0,E226,E226+360)</f>
        <v>178</v>
      </c>
      <c r="G226" s="89"/>
      <c r="H226" s="89"/>
      <c r="I226" s="87"/>
      <c r="J226" s="87"/>
      <c r="K226" s="87"/>
      <c r="L226" s="87"/>
      <c r="M226" s="91"/>
      <c r="N226" s="87"/>
      <c r="O226" s="90"/>
    </row>
    <row r="227" ht="12.75" customHeight="1">
      <c r="A227" s="87"/>
      <c r="B227" s="87">
        <v>180.0</v>
      </c>
      <c r="C227" s="87">
        <v>0.0</v>
      </c>
      <c r="D227" s="88">
        <v>1.0</v>
      </c>
      <c r="E227" s="87"/>
      <c r="F227" s="87"/>
      <c r="G227" s="89"/>
      <c r="H227" s="89"/>
      <c r="I227" s="87"/>
      <c r="J227" s="87"/>
      <c r="K227" s="87"/>
      <c r="L227" s="87"/>
      <c r="M227" s="91"/>
      <c r="N227" s="87"/>
      <c r="O227" s="90"/>
    </row>
    <row r="228" ht="12.75" customHeight="1">
      <c r="A228" s="87"/>
      <c r="B228" s="87"/>
      <c r="C228" s="87"/>
      <c r="D228" s="88"/>
      <c r="E228" s="87"/>
      <c r="F228" s="87"/>
      <c r="G228" s="89"/>
      <c r="H228" s="89"/>
      <c r="I228" s="87"/>
      <c r="J228" s="87"/>
      <c r="K228" s="87"/>
      <c r="L228" s="87"/>
      <c r="M228" s="91"/>
      <c r="N228" s="87"/>
      <c r="O228" s="90"/>
    </row>
    <row r="229" ht="12.75" customHeight="1">
      <c r="A229" s="87" t="str">
        <f>TRVS!A69</f>
        <v>CM56</v>
      </c>
      <c r="B229" s="87" t="str">
        <f t="shared" ref="B229:B230" si="189">TRUNC(F229,0)</f>
        <v>214</v>
      </c>
      <c r="C229" s="87" t="str">
        <f t="shared" ref="C229:C230" si="190">TRUNC((F229-B229)*60,0)</f>
        <v>6</v>
      </c>
      <c r="D229" s="88" t="str">
        <f t="shared" ref="D229:D230" si="191">ROUND(((F229-B229)-C229/60)*3600,0)</f>
        <v>58</v>
      </c>
      <c r="E229" s="88" t="str">
        <f>F229</f>
        <v>214</v>
      </c>
      <c r="F229" s="88" t="str">
        <f>I229+J229/60+K229/3600-(H229+G229)/3600</f>
        <v>214</v>
      </c>
      <c r="G229" s="89" t="str">
        <f>ROUND(((B227+C227/60+D227/3600)-(B231+C231/60+D231/3600))/2*3600,0)</f>
        <v>1</v>
      </c>
      <c r="H229" s="89" t="str">
        <f>H225</f>
        <v>-1</v>
      </c>
      <c r="I229" s="88" t="str">
        <f>TRVS!B69</f>
        <v>214</v>
      </c>
      <c r="J229" s="88" t="str">
        <f>TRVS!C69</f>
        <v>6</v>
      </c>
      <c r="K229" s="88" t="str">
        <f>TRVS!D69</f>
        <v>58</v>
      </c>
      <c r="L229" s="87" t="str">
        <f>L224</f>
        <v>CM55</v>
      </c>
      <c r="M229" s="91" t="str">
        <f>TRVS!L69</f>
        <v>66.764</v>
      </c>
      <c r="N229" s="87" t="str">
        <f>A229</f>
        <v>CM56</v>
      </c>
      <c r="O229" s="90" t="str">
        <f>M229/$M$6</f>
        <v>66.801</v>
      </c>
    </row>
    <row r="230" ht="12.75" customHeight="1">
      <c r="A230" s="87"/>
      <c r="B230" s="87" t="str">
        <f t="shared" si="189"/>
        <v>34</v>
      </c>
      <c r="C230" s="87" t="str">
        <f t="shared" si="190"/>
        <v>7</v>
      </c>
      <c r="D230" s="88" t="str">
        <f t="shared" si="191"/>
        <v>0</v>
      </c>
      <c r="E230" s="88" t="str">
        <f>E229-(B231+C231/60+D231/3600)</f>
        <v>34</v>
      </c>
      <c r="F230" s="88" t="str">
        <f>IF(E230&gt;0,E230,E230+360)</f>
        <v>34</v>
      </c>
      <c r="G230" s="89"/>
      <c r="H230" s="89"/>
      <c r="I230" s="87"/>
      <c r="J230" s="87"/>
      <c r="K230" s="87"/>
      <c r="L230" s="87"/>
      <c r="M230" s="91"/>
      <c r="N230" s="87"/>
      <c r="O230" s="90"/>
    </row>
    <row r="231" ht="12.75" customHeight="1">
      <c r="A231" s="87"/>
      <c r="B231" s="87">
        <v>179.0</v>
      </c>
      <c r="C231" s="87">
        <v>59.0</v>
      </c>
      <c r="D231" s="88">
        <v>58.0</v>
      </c>
      <c r="E231" s="87"/>
      <c r="F231" s="87"/>
      <c r="G231" s="89"/>
      <c r="H231" s="89"/>
      <c r="I231" s="87"/>
      <c r="J231" s="87"/>
      <c r="K231" s="87"/>
      <c r="L231" s="87"/>
      <c r="M231" s="91"/>
      <c r="N231" s="87"/>
      <c r="O231" s="90"/>
    </row>
    <row r="232" ht="12.75" customHeight="1">
      <c r="A232" s="87"/>
      <c r="B232" s="87"/>
      <c r="C232" s="87"/>
      <c r="D232" s="88"/>
      <c r="E232" s="87"/>
      <c r="F232" s="87"/>
      <c r="G232" s="89"/>
      <c r="H232" s="89"/>
      <c r="I232" s="87"/>
      <c r="J232" s="87"/>
      <c r="K232" s="87" t="s">
        <v>129</v>
      </c>
      <c r="L232" s="87" t="str">
        <f>A229</f>
        <v>CM56</v>
      </c>
      <c r="M232" s="91"/>
      <c r="N232" s="87"/>
      <c r="O232" s="90"/>
    </row>
    <row r="233" ht="12.75" customHeight="1">
      <c r="A233" s="87" t="str">
        <f>L224</f>
        <v>CM55</v>
      </c>
      <c r="B233" s="87" t="str">
        <f t="shared" ref="B233:B234" si="193">TRUNC(F233,0)</f>
        <v>34</v>
      </c>
      <c r="C233" s="87" t="str">
        <f t="shared" ref="C233:C234" si="194">TRUNC((F233-B233)*60,0)</f>
        <v>6</v>
      </c>
      <c r="D233" s="88" t="str">
        <f t="shared" ref="D233:D234" si="195">ROUND(((F233-B233)-C233/60)*3600,0)</f>
        <v>58</v>
      </c>
      <c r="E233" s="88" t="str">
        <f>F233</f>
        <v>34</v>
      </c>
      <c r="F233" s="88" t="str">
        <f>I233+J233/60+K233/3600-(H233+G233)/3600</f>
        <v>34</v>
      </c>
      <c r="G233" s="89"/>
      <c r="H233" s="89">
        <v>0.0</v>
      </c>
      <c r="I233" s="88" t="str">
        <f>IF(I229&lt;180,I229+180,I229-180)</f>
        <v>34</v>
      </c>
      <c r="J233" s="88" t="str">
        <f t="shared" ref="J233:K233" si="192">J229</f>
        <v>6</v>
      </c>
      <c r="K233" s="88" t="str">
        <f t="shared" si="192"/>
        <v>58</v>
      </c>
      <c r="L233" s="87"/>
      <c r="M233" s="91"/>
      <c r="N233" s="87"/>
      <c r="O233" s="90"/>
    </row>
    <row r="234" ht="12.75" customHeight="1">
      <c r="A234" s="87"/>
      <c r="B234" s="87" t="str">
        <f t="shared" si="193"/>
        <v>214</v>
      </c>
      <c r="C234" s="87" t="str">
        <f t="shared" si="194"/>
        <v>6</v>
      </c>
      <c r="D234" s="88" t="str">
        <f t="shared" si="195"/>
        <v>53</v>
      </c>
      <c r="E234" s="88" t="str">
        <f>E233-(B235+C235/60+D235/3600)</f>
        <v>-146</v>
      </c>
      <c r="F234" s="88" t="str">
        <f>IF(E234&gt;0,E234,E234+360)</f>
        <v>214</v>
      </c>
      <c r="G234" s="89"/>
      <c r="H234" s="89"/>
      <c r="I234" s="87"/>
      <c r="J234" s="87"/>
      <c r="K234" s="87"/>
      <c r="L234" s="87"/>
      <c r="M234" s="91"/>
      <c r="N234" s="87"/>
      <c r="O234" s="90"/>
    </row>
    <row r="235" ht="12.75" customHeight="1">
      <c r="A235" s="87"/>
      <c r="B235" s="87">
        <v>180.0</v>
      </c>
      <c r="C235" s="87">
        <v>0.0</v>
      </c>
      <c r="D235" s="88">
        <v>5.0</v>
      </c>
      <c r="E235" s="87"/>
      <c r="F235" s="87"/>
      <c r="G235" s="89"/>
      <c r="H235" s="89"/>
      <c r="I235" s="87"/>
      <c r="J235" s="87"/>
      <c r="K235" s="87"/>
      <c r="L235" s="87"/>
      <c r="M235" s="91"/>
      <c r="N235" s="87"/>
      <c r="O235" s="90"/>
    </row>
    <row r="236" ht="12.75" customHeight="1">
      <c r="A236" s="87"/>
      <c r="B236" s="87"/>
      <c r="C236" s="87"/>
      <c r="D236" s="88"/>
      <c r="E236" s="87"/>
      <c r="F236" s="87"/>
      <c r="G236" s="89"/>
      <c r="H236" s="89"/>
      <c r="I236" s="87"/>
      <c r="J236" s="87"/>
      <c r="K236" s="87"/>
      <c r="L236" s="87"/>
      <c r="M236" s="91"/>
      <c r="N236" s="87"/>
      <c r="O236" s="90"/>
    </row>
    <row r="237" ht="12.75" customHeight="1">
      <c r="A237" s="87" t="str">
        <f>TRVS!A70</f>
        <v>CM57</v>
      </c>
      <c r="B237" s="87" t="str">
        <f t="shared" ref="B237:B238" si="196">TRUNC(F237,0)</f>
        <v>127</v>
      </c>
      <c r="C237" s="87" t="str">
        <f t="shared" ref="C237:C238" si="197">TRUNC((F237-B237)*60,0)</f>
        <v>0</v>
      </c>
      <c r="D237" s="88" t="str">
        <f t="shared" ref="D237:D238" si="198">ROUND(((F237-B237)-C237/60)*3600,0)</f>
        <v>55</v>
      </c>
      <c r="E237" s="88" t="str">
        <f>F237</f>
        <v>127</v>
      </c>
      <c r="F237" s="88" t="str">
        <f>I237+J237/60+K237/3600-(H237+G237)/3600</f>
        <v>127</v>
      </c>
      <c r="G237" s="89" t="str">
        <f>ROUND(((B235+C235/60+D235/3600)-(B239+C239/60+D239/3600))/2*3600,0)</f>
        <v>4</v>
      </c>
      <c r="H237" s="89" t="str">
        <f>H233</f>
        <v>0</v>
      </c>
      <c r="I237" s="88" t="str">
        <f>TRVS!B70</f>
        <v>127</v>
      </c>
      <c r="J237" s="88" t="str">
        <f>TRVS!C70</f>
        <v>0</v>
      </c>
      <c r="K237" s="88" t="str">
        <f>TRVS!D70</f>
        <v>59</v>
      </c>
      <c r="L237" s="87" t="str">
        <f>L232</f>
        <v>CM56</v>
      </c>
      <c r="M237" s="91" t="str">
        <f>TRVS!L70</f>
        <v>34.565</v>
      </c>
      <c r="N237" s="87" t="str">
        <f>A237</f>
        <v>CM57</v>
      </c>
      <c r="O237" s="90" t="str">
        <f>M237/$M$6</f>
        <v>34.584</v>
      </c>
    </row>
    <row r="238" ht="12.75" customHeight="1">
      <c r="A238" s="87"/>
      <c r="B238" s="87" t="str">
        <f t="shared" si="196"/>
        <v>307</v>
      </c>
      <c r="C238" s="87" t="str">
        <f t="shared" si="197"/>
        <v>0</v>
      </c>
      <c r="D238" s="88" t="str">
        <f t="shared" si="198"/>
        <v>57</v>
      </c>
      <c r="E238" s="88" t="str">
        <f>E237-(B239+C239/60+D239/3600)</f>
        <v>-53</v>
      </c>
      <c r="F238" s="88" t="str">
        <f>IF(E238&gt;0,E238,E238+360)</f>
        <v>307</v>
      </c>
      <c r="G238" s="89"/>
      <c r="H238" s="89"/>
      <c r="I238" s="87"/>
      <c r="J238" s="87"/>
      <c r="K238" s="87"/>
      <c r="L238" s="87"/>
      <c r="M238" s="91"/>
      <c r="N238" s="87"/>
      <c r="O238" s="90"/>
    </row>
    <row r="239" ht="12.75" customHeight="1">
      <c r="A239" s="87"/>
      <c r="B239" s="87">
        <v>179.0</v>
      </c>
      <c r="C239" s="87">
        <v>59.0</v>
      </c>
      <c r="D239" s="88">
        <v>58.0</v>
      </c>
      <c r="E239" s="87"/>
      <c r="F239" s="87"/>
      <c r="G239" s="89"/>
      <c r="H239" s="89"/>
      <c r="I239" s="87"/>
      <c r="J239" s="87"/>
      <c r="K239" s="87"/>
      <c r="L239" s="87"/>
      <c r="M239" s="91"/>
      <c r="N239" s="87"/>
      <c r="O239" s="90"/>
    </row>
    <row r="240" ht="12.75" customHeight="1">
      <c r="A240" s="87"/>
      <c r="B240" s="87"/>
      <c r="C240" s="87"/>
      <c r="D240" s="88"/>
      <c r="E240" s="87"/>
      <c r="F240" s="87"/>
      <c r="G240" s="89"/>
      <c r="H240" s="89"/>
      <c r="I240" s="87"/>
      <c r="J240" s="87"/>
      <c r="K240" s="87" t="s">
        <v>129</v>
      </c>
      <c r="L240" s="87" t="str">
        <f>A237</f>
        <v>CM57</v>
      </c>
      <c r="M240" s="91"/>
      <c r="N240" s="87"/>
      <c r="O240" s="90"/>
    </row>
    <row r="241" ht="12.75" customHeight="1">
      <c r="A241" s="87" t="str">
        <f>L232</f>
        <v>CM56</v>
      </c>
      <c r="B241" s="87" t="str">
        <f t="shared" ref="B241:B242" si="200">TRUNC(F241,0)</f>
        <v>307</v>
      </c>
      <c r="C241" s="87" t="str">
        <f t="shared" ref="C241:C242" si="201">TRUNC((F241-B241)*60,0)</f>
        <v>0</v>
      </c>
      <c r="D241" s="88" t="str">
        <f t="shared" ref="D241:D242" si="202">ROUND(((F241-B241)-C241/60)*3600,0)</f>
        <v>58</v>
      </c>
      <c r="E241" s="88" t="str">
        <f>F241</f>
        <v>307</v>
      </c>
      <c r="F241" s="88" t="str">
        <f>I241+J241/60+K241/3600-(H241+G241)/3600</f>
        <v>307</v>
      </c>
      <c r="G241" s="89"/>
      <c r="H241" s="89">
        <v>1.0</v>
      </c>
      <c r="I241" s="88" t="str">
        <f>IF(I237&lt;180,I237+180,I237-180)</f>
        <v>307</v>
      </c>
      <c r="J241" s="88" t="str">
        <f t="shared" ref="J241:K241" si="199">J237</f>
        <v>0</v>
      </c>
      <c r="K241" s="88" t="str">
        <f t="shared" si="199"/>
        <v>59</v>
      </c>
      <c r="L241" s="87"/>
      <c r="M241" s="91"/>
      <c r="N241" s="87"/>
      <c r="O241" s="90"/>
    </row>
    <row r="242" ht="12.75" customHeight="1">
      <c r="A242" s="87"/>
      <c r="B242" s="87" t="str">
        <f t="shared" si="200"/>
        <v>127</v>
      </c>
      <c r="C242" s="87" t="str">
        <f t="shared" si="201"/>
        <v>0</v>
      </c>
      <c r="D242" s="88" t="str">
        <f t="shared" si="202"/>
        <v>57</v>
      </c>
      <c r="E242" s="88" t="str">
        <f>E241-(B243+C243/60+D243/3600)</f>
        <v>127</v>
      </c>
      <c r="F242" s="88" t="str">
        <f>IF(E242&gt;0,E242,E242+360)</f>
        <v>127</v>
      </c>
      <c r="G242" s="89"/>
      <c r="H242" s="89"/>
      <c r="I242" s="87"/>
      <c r="J242" s="87"/>
      <c r="K242" s="87"/>
      <c r="L242" s="87"/>
      <c r="M242" s="91"/>
      <c r="N242" s="87"/>
      <c r="O242" s="90"/>
    </row>
    <row r="243" ht="12.75" customHeight="1">
      <c r="A243" s="87"/>
      <c r="B243" s="87">
        <v>180.0</v>
      </c>
      <c r="C243" s="87">
        <v>0.0</v>
      </c>
      <c r="D243" s="88">
        <v>1.0</v>
      </c>
      <c r="E243" s="87"/>
      <c r="F243" s="87"/>
      <c r="G243" s="89"/>
      <c r="H243" s="89"/>
      <c r="I243" s="87"/>
      <c r="J243" s="87"/>
      <c r="K243" s="87"/>
      <c r="L243" s="87"/>
      <c r="M243" s="91"/>
      <c r="N243" s="87"/>
      <c r="O243" s="90"/>
    </row>
    <row r="244" ht="12.75" customHeight="1">
      <c r="A244" s="87"/>
      <c r="B244" s="87"/>
      <c r="C244" s="87"/>
      <c r="D244" s="88"/>
      <c r="E244" s="87"/>
      <c r="F244" s="87"/>
      <c r="G244" s="89"/>
      <c r="H244" s="89"/>
      <c r="I244" s="87"/>
      <c r="J244" s="87"/>
      <c r="K244" s="87"/>
      <c r="L244" s="87"/>
      <c r="M244" s="91"/>
      <c r="N244" s="87"/>
      <c r="O244" s="90"/>
    </row>
    <row r="245" ht="12.75" customHeight="1">
      <c r="A245" s="87" t="str">
        <f>TRVS!A71</f>
        <v>CM58</v>
      </c>
      <c r="B245" s="87" t="str">
        <f t="shared" ref="B245:B246" si="203">TRUNC(F245,0)</f>
        <v>117</v>
      </c>
      <c r="C245" s="87" t="str">
        <f t="shared" ref="C245:C246" si="204">TRUNC((F245-B245)*60,0)</f>
        <v>43</v>
      </c>
      <c r="D245" s="88" t="str">
        <f t="shared" ref="D245:D246" si="205">ROUND(((F245-B245)-C245/60)*3600,0)</f>
        <v>27</v>
      </c>
      <c r="E245" s="88" t="str">
        <f>F245</f>
        <v>118</v>
      </c>
      <c r="F245" s="88" t="str">
        <f>I245+J245/60+K245/3600-(H245+G245)/3600</f>
        <v>118</v>
      </c>
      <c r="G245" s="89" t="str">
        <f>ROUND(((B243+C243/60+D243/3600)-(B247+C247/60+D247/3600))/2*3600,0)</f>
        <v>1</v>
      </c>
      <c r="H245" s="89" t="str">
        <f>H241</f>
        <v>1</v>
      </c>
      <c r="I245" s="88" t="str">
        <f>TRVS!B71</f>
        <v>117</v>
      </c>
      <c r="J245" s="88" t="str">
        <f>TRVS!C71</f>
        <v>43</v>
      </c>
      <c r="K245" s="88" t="str">
        <f>TRVS!D71</f>
        <v>29</v>
      </c>
      <c r="L245" s="87" t="str">
        <f>L240</f>
        <v>CM57</v>
      </c>
      <c r="M245" s="91" t="str">
        <f>TRVS!L71</f>
        <v>27.604</v>
      </c>
      <c r="N245" s="87" t="str">
        <f>A245</f>
        <v>CM58</v>
      </c>
      <c r="O245" s="90" t="str">
        <f>M245/$M$6</f>
        <v>27.620</v>
      </c>
    </row>
    <row r="246" ht="12.75" customHeight="1">
      <c r="A246" s="87"/>
      <c r="B246" s="87" t="str">
        <f t="shared" si="203"/>
        <v>297</v>
      </c>
      <c r="C246" s="87" t="str">
        <f t="shared" si="204"/>
        <v>43</v>
      </c>
      <c r="D246" s="88" t="str">
        <f t="shared" si="205"/>
        <v>29</v>
      </c>
      <c r="E246" s="88" t="str">
        <f>E245-(B247+C247/60+D247/3600)</f>
        <v>-62</v>
      </c>
      <c r="F246" s="88" t="str">
        <f>IF(E246&gt;0,E246,E246+360)</f>
        <v>298</v>
      </c>
      <c r="G246" s="89"/>
      <c r="H246" s="89"/>
      <c r="I246" s="87"/>
      <c r="J246" s="87"/>
      <c r="K246" s="87"/>
      <c r="L246" s="87"/>
      <c r="M246" s="91"/>
      <c r="N246" s="87"/>
      <c r="O246" s="90"/>
    </row>
    <row r="247" ht="12.75" customHeight="1">
      <c r="A247" s="87"/>
      <c r="B247" s="87">
        <v>179.0</v>
      </c>
      <c r="C247" s="87">
        <v>59.0</v>
      </c>
      <c r="D247" s="88">
        <v>58.0</v>
      </c>
      <c r="E247" s="87"/>
      <c r="F247" s="87"/>
      <c r="G247" s="89"/>
      <c r="H247" s="89"/>
      <c r="I247" s="87"/>
      <c r="J247" s="87"/>
      <c r="K247" s="87"/>
      <c r="L247" s="87"/>
      <c r="M247" s="91"/>
      <c r="N247" s="87"/>
      <c r="O247" s="90"/>
    </row>
    <row r="248" ht="12.75" customHeight="1">
      <c r="A248" s="87"/>
      <c r="B248" s="87"/>
      <c r="C248" s="87"/>
      <c r="D248" s="88"/>
      <c r="E248" s="87"/>
      <c r="F248" s="87"/>
      <c r="G248" s="89"/>
      <c r="H248" s="89"/>
      <c r="I248" s="87"/>
      <c r="J248" s="87"/>
      <c r="K248" s="87" t="s">
        <v>129</v>
      </c>
      <c r="L248" s="87" t="str">
        <f>A245</f>
        <v>CM58</v>
      </c>
      <c r="M248" s="91"/>
      <c r="N248" s="87"/>
      <c r="O248" s="90"/>
    </row>
    <row r="249" ht="12.75" customHeight="1">
      <c r="A249" s="87" t="str">
        <f>L240</f>
        <v>CM57</v>
      </c>
      <c r="B249" s="87" t="str">
        <f t="shared" ref="B249:B250" si="207">TRUNC(F249,0)</f>
        <v>297</v>
      </c>
      <c r="C249" s="87" t="str">
        <f t="shared" ref="C249:C250" si="208">TRUNC((F249-B249)*60,0)</f>
        <v>43</v>
      </c>
      <c r="D249" s="88" t="str">
        <f t="shared" ref="D249:D250" si="209">ROUND(((F249-B249)-C249/60)*3600,0)</f>
        <v>28</v>
      </c>
      <c r="E249" s="88" t="str">
        <f>F249</f>
        <v>298</v>
      </c>
      <c r="F249" s="88" t="str">
        <f>I249+J249/60+K249/3600-(H249+G249)/3600</f>
        <v>298</v>
      </c>
      <c r="G249" s="89"/>
      <c r="H249" s="89">
        <v>1.0</v>
      </c>
      <c r="I249" s="88" t="str">
        <f>IF(I245&lt;180,I245+180,I245-180)</f>
        <v>297</v>
      </c>
      <c r="J249" s="88" t="str">
        <f t="shared" ref="J249:K249" si="206">J245</f>
        <v>43</v>
      </c>
      <c r="K249" s="88" t="str">
        <f t="shared" si="206"/>
        <v>29</v>
      </c>
      <c r="L249" s="87"/>
      <c r="M249" s="91"/>
      <c r="N249" s="87"/>
      <c r="O249" s="90"/>
    </row>
    <row r="250" ht="12.75" customHeight="1">
      <c r="A250" s="87"/>
      <c r="B250" s="87" t="str">
        <f t="shared" si="207"/>
        <v>117</v>
      </c>
      <c r="C250" s="87" t="str">
        <f t="shared" si="208"/>
        <v>43</v>
      </c>
      <c r="D250" s="88" t="str">
        <f t="shared" si="209"/>
        <v>27</v>
      </c>
      <c r="E250" s="88" t="str">
        <f>E249-(B251+C251/60+D251/3600)</f>
        <v>118</v>
      </c>
      <c r="F250" s="88" t="str">
        <f>IF(E250&gt;0,E250,E250+360)</f>
        <v>118</v>
      </c>
      <c r="G250" s="89"/>
      <c r="H250" s="89"/>
      <c r="I250" s="87"/>
      <c r="J250" s="87"/>
      <c r="K250" s="87"/>
      <c r="L250" s="87"/>
      <c r="M250" s="91"/>
      <c r="N250" s="87"/>
      <c r="O250" s="90"/>
    </row>
    <row r="251" ht="12.75" customHeight="1">
      <c r="A251" s="87"/>
      <c r="B251" s="87">
        <v>180.0</v>
      </c>
      <c r="C251" s="87">
        <v>0.0</v>
      </c>
      <c r="D251" s="88">
        <v>1.0</v>
      </c>
      <c r="E251" s="87"/>
      <c r="F251" s="87"/>
      <c r="G251" s="89"/>
      <c r="H251" s="89"/>
      <c r="I251" s="87"/>
      <c r="J251" s="87"/>
      <c r="K251" s="87"/>
      <c r="L251" s="87"/>
      <c r="M251" s="91"/>
      <c r="N251" s="87"/>
      <c r="O251" s="90"/>
    </row>
    <row r="252" ht="12.75" customHeight="1">
      <c r="A252" s="87"/>
      <c r="B252" s="87"/>
      <c r="C252" s="87"/>
      <c r="D252" s="88"/>
      <c r="E252" s="87"/>
      <c r="F252" s="87"/>
      <c r="G252" s="89"/>
      <c r="H252" s="89"/>
      <c r="I252" s="87"/>
      <c r="J252" s="87"/>
      <c r="K252" s="87"/>
      <c r="L252" s="87"/>
      <c r="M252" s="91"/>
      <c r="N252" s="87"/>
      <c r="O252" s="90"/>
    </row>
    <row r="253" ht="12.75" customHeight="1">
      <c r="A253" s="87" t="str">
        <f>TRVS!A72</f>
        <v>CM59</v>
      </c>
      <c r="B253" s="87" t="str">
        <f t="shared" ref="B253:B254" si="210">TRUNC(F253,0)</f>
        <v>47</v>
      </c>
      <c r="C253" s="87" t="str">
        <f t="shared" ref="C253:C254" si="211">TRUNC((F253-B253)*60,0)</f>
        <v>30</v>
      </c>
      <c r="D253" s="88" t="str">
        <f t="shared" ref="D253:D254" si="212">ROUND(((F253-B253)-C253/60)*3600,0)</f>
        <v>53</v>
      </c>
      <c r="E253" s="88" t="str">
        <f>F253</f>
        <v>48</v>
      </c>
      <c r="F253" s="88" t="str">
        <f>I253+J253/60+K253/3600-(H253+G253)/3600</f>
        <v>48</v>
      </c>
      <c r="G253" s="89" t="str">
        <f>ROUND(((B251+C251/60+D251/3600)-(B255+C255/60+D255/3600))/2*3600,0)</f>
        <v>1</v>
      </c>
      <c r="H253" s="89" t="str">
        <f>H249</f>
        <v>1</v>
      </c>
      <c r="I253" s="88" t="str">
        <f>TRVS!B72</f>
        <v>47</v>
      </c>
      <c r="J253" s="88" t="str">
        <f>TRVS!C72</f>
        <v>30</v>
      </c>
      <c r="K253" s="88" t="str">
        <f>TRVS!D72</f>
        <v>55</v>
      </c>
      <c r="L253" s="87" t="str">
        <f>L248</f>
        <v>CM58</v>
      </c>
      <c r="M253" s="91" t="str">
        <f>TRVS!L72</f>
        <v>80.118</v>
      </c>
      <c r="N253" s="87" t="str">
        <f>A253</f>
        <v>CM59</v>
      </c>
      <c r="O253" s="90" t="str">
        <f>M253/$M$6</f>
        <v>80.163</v>
      </c>
    </row>
    <row r="254" ht="12.75" customHeight="1">
      <c r="A254" s="87"/>
      <c r="B254" s="87" t="str">
        <f t="shared" si="210"/>
        <v>227</v>
      </c>
      <c r="C254" s="87" t="str">
        <f t="shared" si="211"/>
        <v>30</v>
      </c>
      <c r="D254" s="88" t="str">
        <f t="shared" si="212"/>
        <v>55</v>
      </c>
      <c r="E254" s="88" t="str">
        <f>E253-(B255+C255/60+D255/3600)</f>
        <v>-132</v>
      </c>
      <c r="F254" s="88" t="str">
        <f>IF(E254&gt;0,E254,E254+360)</f>
        <v>228</v>
      </c>
      <c r="G254" s="89"/>
      <c r="H254" s="89"/>
      <c r="I254" s="87"/>
      <c r="J254" s="87"/>
      <c r="K254" s="87"/>
      <c r="L254" s="87"/>
      <c r="M254" s="91"/>
      <c r="N254" s="87"/>
      <c r="O254" s="90"/>
    </row>
    <row r="255" ht="12.75" customHeight="1">
      <c r="A255" s="87"/>
      <c r="B255" s="87">
        <v>179.0</v>
      </c>
      <c r="C255" s="87">
        <v>59.0</v>
      </c>
      <c r="D255" s="88">
        <v>58.0</v>
      </c>
      <c r="E255" s="87"/>
      <c r="F255" s="87"/>
      <c r="G255" s="89"/>
      <c r="H255" s="89"/>
      <c r="I255" s="87"/>
      <c r="J255" s="87"/>
      <c r="K255" s="87"/>
      <c r="L255" s="87"/>
      <c r="M255" s="91"/>
      <c r="N255" s="87"/>
      <c r="O255" s="90"/>
    </row>
    <row r="256" ht="12.75" customHeight="1">
      <c r="A256" s="87"/>
      <c r="B256" s="87"/>
      <c r="C256" s="87"/>
      <c r="D256" s="88"/>
      <c r="E256" s="87"/>
      <c r="F256" s="87"/>
      <c r="G256" s="89"/>
      <c r="H256" s="89"/>
      <c r="I256" s="87"/>
      <c r="J256" s="87"/>
      <c r="K256" s="87" t="s">
        <v>129</v>
      </c>
      <c r="L256" s="87" t="str">
        <f>A253</f>
        <v>CM59</v>
      </c>
      <c r="M256" s="91"/>
      <c r="N256" s="87"/>
      <c r="O256" s="90"/>
    </row>
    <row r="257" ht="12.75" customHeight="1">
      <c r="A257" s="87" t="str">
        <f>L248</f>
        <v>CM58</v>
      </c>
      <c r="B257" s="87" t="str">
        <f t="shared" ref="B257:B258" si="214">TRUNC(F257,0)</f>
        <v>227</v>
      </c>
      <c r="C257" s="87" t="str">
        <f t="shared" ref="C257:C258" si="215">TRUNC((F257-B257)*60,0)</f>
        <v>30</v>
      </c>
      <c r="D257" s="88" t="str">
        <f t="shared" ref="D257:D258" si="216">ROUND(((F257-B257)-C257/60)*3600,0)</f>
        <v>54</v>
      </c>
      <c r="E257" s="88" t="str">
        <f>F257</f>
        <v>228</v>
      </c>
      <c r="F257" s="88" t="str">
        <f>I257+J257/60+K257/3600-(H257+G257)/3600</f>
        <v>228</v>
      </c>
      <c r="G257" s="89"/>
      <c r="H257" s="89">
        <v>1.0</v>
      </c>
      <c r="I257" s="88" t="str">
        <f>IF(I253&lt;180,I253+180,I253-180)</f>
        <v>227</v>
      </c>
      <c r="J257" s="88" t="str">
        <f t="shared" ref="J257:K257" si="213">J253</f>
        <v>30</v>
      </c>
      <c r="K257" s="88" t="str">
        <f t="shared" si="213"/>
        <v>55</v>
      </c>
      <c r="L257" s="87"/>
      <c r="M257" s="91"/>
      <c r="N257" s="87"/>
      <c r="O257" s="90"/>
    </row>
    <row r="258" ht="12.75" customHeight="1">
      <c r="A258" s="87"/>
      <c r="B258" s="87" t="str">
        <f t="shared" si="214"/>
        <v>47</v>
      </c>
      <c r="C258" s="87" t="str">
        <f t="shared" si="215"/>
        <v>30</v>
      </c>
      <c r="D258" s="88" t="str">
        <f t="shared" si="216"/>
        <v>53</v>
      </c>
      <c r="E258" s="88" t="str">
        <f>E257-(B259+C259/60+D259/3600)</f>
        <v>48</v>
      </c>
      <c r="F258" s="88" t="str">
        <f>IF(E258&gt;0,E258,E258+360)</f>
        <v>48</v>
      </c>
      <c r="G258" s="89"/>
      <c r="H258" s="89"/>
      <c r="I258" s="87"/>
      <c r="J258" s="87"/>
      <c r="K258" s="87"/>
      <c r="L258" s="87"/>
      <c r="M258" s="91"/>
      <c r="N258" s="87"/>
      <c r="O258" s="90"/>
    </row>
    <row r="259" ht="12.75" customHeight="1">
      <c r="A259" s="87"/>
      <c r="B259" s="87">
        <v>180.0</v>
      </c>
      <c r="C259" s="87">
        <v>0.0</v>
      </c>
      <c r="D259" s="88">
        <v>1.0</v>
      </c>
      <c r="E259" s="87"/>
      <c r="F259" s="87"/>
      <c r="G259" s="89"/>
      <c r="H259" s="89"/>
      <c r="I259" s="87"/>
      <c r="J259" s="87"/>
      <c r="K259" s="87"/>
      <c r="L259" s="87"/>
      <c r="M259" s="91"/>
      <c r="N259" s="87"/>
      <c r="O259" s="90"/>
    </row>
    <row r="260" ht="12.75" customHeight="1">
      <c r="A260" s="87"/>
      <c r="B260" s="87"/>
      <c r="C260" s="87"/>
      <c r="D260" s="88"/>
      <c r="E260" s="87"/>
      <c r="F260" s="87"/>
      <c r="G260" s="89"/>
      <c r="H260" s="89"/>
      <c r="I260" s="87"/>
      <c r="J260" s="87"/>
      <c r="K260" s="87"/>
      <c r="L260" s="87"/>
      <c r="M260" s="91"/>
      <c r="N260" s="87"/>
      <c r="O260" s="90"/>
    </row>
    <row r="261" ht="12.75" customHeight="1">
      <c r="A261" s="87" t="str">
        <f>TRVS!A73</f>
        <v>CM60</v>
      </c>
      <c r="B261" s="87" t="str">
        <f t="shared" ref="B261:B262" si="217">TRUNC(F261,0)</f>
        <v>49</v>
      </c>
      <c r="C261" s="87" t="str">
        <f t="shared" ref="C261:C262" si="218">TRUNC((F261-B261)*60,0)</f>
        <v>14</v>
      </c>
      <c r="D261" s="88" t="str">
        <f t="shared" ref="D261:D262" si="219">ROUND(((F261-B261)-C261/60)*3600,0)</f>
        <v>50</v>
      </c>
      <c r="E261" s="88" t="str">
        <f>F261</f>
        <v>49</v>
      </c>
      <c r="F261" s="88" t="str">
        <f>I261+J261/60+K261/3600-(H261+G261)/3600</f>
        <v>49</v>
      </c>
      <c r="G261" s="89" t="str">
        <f>ROUND(((B259+C259/60+D259/3600)-(B263+C263/60+D263/3600))/2*3600,0)</f>
        <v>-3</v>
      </c>
      <c r="H261" s="89" t="str">
        <f>H257</f>
        <v>1</v>
      </c>
      <c r="I261" s="88" t="str">
        <f>TRVS!B73</f>
        <v>49</v>
      </c>
      <c r="J261" s="88" t="str">
        <f>TRVS!C73</f>
        <v>14</v>
      </c>
      <c r="K261" s="88" t="str">
        <f>TRVS!D73</f>
        <v>48</v>
      </c>
      <c r="L261" s="87" t="str">
        <f>L256</f>
        <v>CM59</v>
      </c>
      <c r="M261" s="91" t="str">
        <f>TRVS!L73</f>
        <v>118.712</v>
      </c>
      <c r="N261" s="87" t="str">
        <f>A261</f>
        <v>CM60</v>
      </c>
      <c r="O261" s="90" t="str">
        <f>M261/$M$6</f>
        <v>118.779</v>
      </c>
    </row>
    <row r="262" ht="12.75" customHeight="1">
      <c r="A262" s="87"/>
      <c r="B262" s="87" t="str">
        <f t="shared" si="217"/>
        <v>229</v>
      </c>
      <c r="C262" s="87" t="str">
        <f t="shared" si="218"/>
        <v>14</v>
      </c>
      <c r="D262" s="88" t="str">
        <f t="shared" si="219"/>
        <v>43</v>
      </c>
      <c r="E262" s="88" t="str">
        <f>E261-(B263+C263/60+D263/3600)</f>
        <v>-131</v>
      </c>
      <c r="F262" s="88" t="str">
        <f>IF(E262&gt;0,E262,E262+360)</f>
        <v>229</v>
      </c>
      <c r="G262" s="89"/>
      <c r="H262" s="89"/>
      <c r="I262" s="87"/>
      <c r="J262" s="87"/>
      <c r="K262" s="87"/>
      <c r="L262" s="87"/>
      <c r="M262" s="91"/>
      <c r="N262" s="87"/>
      <c r="O262" s="90"/>
    </row>
    <row r="263" ht="12.75" customHeight="1">
      <c r="A263" s="87"/>
      <c r="B263" s="87">
        <v>180.0</v>
      </c>
      <c r="C263" s="87">
        <v>0.0</v>
      </c>
      <c r="D263" s="88">
        <v>7.0</v>
      </c>
      <c r="E263" s="87"/>
      <c r="F263" s="87"/>
      <c r="G263" s="89"/>
      <c r="H263" s="89"/>
      <c r="I263" s="87"/>
      <c r="J263" s="87"/>
      <c r="K263" s="87"/>
      <c r="L263" s="87"/>
      <c r="M263" s="91"/>
      <c r="N263" s="87"/>
      <c r="O263" s="90"/>
    </row>
    <row r="264" ht="12.75" customHeight="1">
      <c r="A264" s="87"/>
      <c r="B264" s="87"/>
      <c r="C264" s="87"/>
      <c r="D264" s="88"/>
      <c r="E264" s="87"/>
      <c r="F264" s="87"/>
      <c r="G264" s="89"/>
      <c r="H264" s="89"/>
      <c r="I264" s="87"/>
      <c r="J264" s="87"/>
      <c r="K264" s="87" t="s">
        <v>129</v>
      </c>
      <c r="L264" s="87" t="str">
        <f>A261</f>
        <v>CM60</v>
      </c>
      <c r="M264" s="91"/>
      <c r="N264" s="87"/>
      <c r="O264" s="90"/>
    </row>
    <row r="265" ht="12.75" customHeight="1">
      <c r="A265" s="87" t="str">
        <f>L256</f>
        <v>CM59</v>
      </c>
      <c r="B265" s="87" t="str">
        <f t="shared" ref="B265:B266" si="221">TRUNC(F265,0)</f>
        <v>229</v>
      </c>
      <c r="C265" s="87" t="str">
        <f t="shared" ref="C265:C266" si="222">TRUNC((F265-B265)*60,0)</f>
        <v>14</v>
      </c>
      <c r="D265" s="88" t="str">
        <f t="shared" ref="D265:D266" si="223">ROUND(((F265-B265)-C265/60)*3600,0)</f>
        <v>49</v>
      </c>
      <c r="E265" s="88" t="str">
        <f>F265</f>
        <v>229</v>
      </c>
      <c r="F265" s="88" t="str">
        <f>I265+J265/60+K265/3600-(H265+G265)/3600</f>
        <v>229</v>
      </c>
      <c r="G265" s="89"/>
      <c r="H265" s="89">
        <v>-1.0</v>
      </c>
      <c r="I265" s="88" t="str">
        <f>IF(I261&lt;180,I261+180,I261-180)</f>
        <v>229</v>
      </c>
      <c r="J265" s="88" t="str">
        <f t="shared" ref="J265:K265" si="220">J261</f>
        <v>14</v>
      </c>
      <c r="K265" s="88" t="str">
        <f t="shared" si="220"/>
        <v>48</v>
      </c>
      <c r="L265" s="87"/>
      <c r="M265" s="91"/>
      <c r="N265" s="87"/>
      <c r="O265" s="90"/>
    </row>
    <row r="266" ht="12.75" customHeight="1">
      <c r="A266" s="87"/>
      <c r="B266" s="87" t="str">
        <f t="shared" si="221"/>
        <v>49</v>
      </c>
      <c r="C266" s="87" t="str">
        <f t="shared" si="222"/>
        <v>14</v>
      </c>
      <c r="D266" s="88" t="str">
        <f t="shared" si="223"/>
        <v>48</v>
      </c>
      <c r="E266" s="88" t="str">
        <f>E265-(B267+C267/60+D267/3600)</f>
        <v>49</v>
      </c>
      <c r="F266" s="88" t="str">
        <f>IF(E266&gt;0,E266,E266+360)</f>
        <v>49</v>
      </c>
      <c r="G266" s="89"/>
      <c r="H266" s="89"/>
      <c r="I266" s="87"/>
      <c r="J266" s="87"/>
      <c r="K266" s="87"/>
      <c r="L266" s="87"/>
      <c r="M266" s="91"/>
      <c r="N266" s="87"/>
      <c r="O266" s="90"/>
    </row>
    <row r="267" ht="12.75" customHeight="1">
      <c r="A267" s="87"/>
      <c r="B267" s="87">
        <v>180.0</v>
      </c>
      <c r="C267" s="87">
        <v>0.0</v>
      </c>
      <c r="D267" s="88">
        <v>1.0</v>
      </c>
      <c r="E267" s="87"/>
      <c r="F267" s="87"/>
      <c r="G267" s="89"/>
      <c r="H267" s="89"/>
      <c r="I267" s="87"/>
      <c r="J267" s="87"/>
      <c r="K267" s="87"/>
      <c r="L267" s="87"/>
      <c r="M267" s="91"/>
      <c r="N267" s="87"/>
      <c r="O267" s="90"/>
    </row>
    <row r="268" ht="12.75" customHeight="1">
      <c r="A268" s="87"/>
      <c r="B268" s="87"/>
      <c r="C268" s="87"/>
      <c r="D268" s="88"/>
      <c r="E268" s="87"/>
      <c r="F268" s="87"/>
      <c r="G268" s="89"/>
      <c r="H268" s="89"/>
      <c r="I268" s="87"/>
      <c r="J268" s="87"/>
      <c r="K268" s="87"/>
      <c r="L268" s="87"/>
      <c r="M268" s="91"/>
      <c r="N268" s="87"/>
      <c r="O268" s="90"/>
    </row>
    <row r="269" ht="12.75" customHeight="1">
      <c r="A269" s="87" t="str">
        <f>TRVS!A74</f>
        <v>CM61</v>
      </c>
      <c r="B269" s="87" t="str">
        <f t="shared" ref="B269:B270" si="224">TRUNC(F269,0)</f>
        <v>52</v>
      </c>
      <c r="C269" s="87" t="str">
        <f t="shared" ref="C269:C270" si="225">TRUNC((F269-B269)*60,0)</f>
        <v>0</v>
      </c>
      <c r="D269" s="88" t="str">
        <f t="shared" ref="D269:D270" si="226">ROUND(((F269-B269)-C269/60)*3600,0)</f>
        <v>45</v>
      </c>
      <c r="E269" s="88" t="str">
        <f>F269</f>
        <v>52</v>
      </c>
      <c r="F269" s="88" t="str">
        <f>I269+J269/60+K269/3600-(H269+G269)/3600</f>
        <v>52</v>
      </c>
      <c r="G269" s="89" t="str">
        <f>ROUND(((B267+C267/60+D267/3600)-(B271+C271/60+D271/3600))/2*3600,0)</f>
        <v>1</v>
      </c>
      <c r="H269" s="89" t="str">
        <f>H265</f>
        <v>-1</v>
      </c>
      <c r="I269" s="88" t="str">
        <f>TRVS!B74</f>
        <v>52</v>
      </c>
      <c r="J269" s="88" t="str">
        <f>TRVS!C74</f>
        <v>0</v>
      </c>
      <c r="K269" s="88" t="str">
        <f>TRVS!D74</f>
        <v>45</v>
      </c>
      <c r="L269" s="87" t="str">
        <f>L264</f>
        <v>CM60</v>
      </c>
      <c r="M269" s="91" t="str">
        <f>TRVS!L74</f>
        <v>62.330</v>
      </c>
      <c r="N269" s="87" t="str">
        <f>A269</f>
        <v>CM61</v>
      </c>
      <c r="O269" s="90" t="str">
        <f>M269/$M$6</f>
        <v>62.365</v>
      </c>
    </row>
    <row r="270" ht="12.75" customHeight="1">
      <c r="A270" s="87"/>
      <c r="B270" s="87" t="str">
        <f t="shared" si="224"/>
        <v>232</v>
      </c>
      <c r="C270" s="87" t="str">
        <f t="shared" si="225"/>
        <v>0</v>
      </c>
      <c r="D270" s="88" t="str">
        <f t="shared" si="226"/>
        <v>47</v>
      </c>
      <c r="E270" s="88" t="str">
        <f>E269-(B271+C271/60+D271/3600)</f>
        <v>-128</v>
      </c>
      <c r="F270" s="88" t="str">
        <f>IF(E270&gt;0,E270,E270+360)</f>
        <v>232</v>
      </c>
      <c r="G270" s="89"/>
      <c r="H270" s="89"/>
      <c r="I270" s="87"/>
      <c r="J270" s="87"/>
      <c r="K270" s="87"/>
      <c r="L270" s="87"/>
      <c r="M270" s="91"/>
      <c r="N270" s="87"/>
      <c r="O270" s="90"/>
    </row>
    <row r="271" ht="12.75" customHeight="1">
      <c r="A271" s="87"/>
      <c r="B271" s="87">
        <v>179.0</v>
      </c>
      <c r="C271" s="87">
        <v>59.0</v>
      </c>
      <c r="D271" s="88">
        <v>58.0</v>
      </c>
      <c r="E271" s="87"/>
      <c r="F271" s="87"/>
      <c r="G271" s="89"/>
      <c r="H271" s="89"/>
      <c r="I271" s="87"/>
      <c r="J271" s="87"/>
      <c r="K271" s="87"/>
      <c r="L271" s="87"/>
      <c r="M271" s="91"/>
      <c r="N271" s="87"/>
      <c r="O271" s="90"/>
    </row>
    <row r="272" ht="12.75" customHeight="1">
      <c r="A272" s="87"/>
      <c r="B272" s="87"/>
      <c r="C272" s="87"/>
      <c r="D272" s="88"/>
      <c r="E272" s="87"/>
      <c r="F272" s="87"/>
      <c r="G272" s="89"/>
      <c r="H272" s="89"/>
      <c r="I272" s="87"/>
      <c r="J272" s="87"/>
      <c r="K272" s="87" t="s">
        <v>129</v>
      </c>
      <c r="L272" s="87" t="str">
        <f>A269</f>
        <v>CM61</v>
      </c>
      <c r="M272" s="91"/>
      <c r="N272" s="87"/>
      <c r="O272" s="90"/>
    </row>
    <row r="273" ht="12.75" customHeight="1">
      <c r="A273" s="87" t="str">
        <f>L264</f>
        <v>CM60</v>
      </c>
      <c r="B273" s="87" t="str">
        <f t="shared" ref="B273:B274" si="228">TRUNC(F273,0)</f>
        <v>232</v>
      </c>
      <c r="C273" s="87" t="str">
        <f t="shared" ref="C273:C274" si="229">TRUNC((F273-B273)*60,0)</f>
        <v>0</v>
      </c>
      <c r="D273" s="88" t="str">
        <f t="shared" ref="D273:D274" si="230">ROUND(((F273-B273)-C273/60)*3600,0)</f>
        <v>46</v>
      </c>
      <c r="E273" s="88" t="str">
        <f>F273</f>
        <v>232</v>
      </c>
      <c r="F273" s="88" t="str">
        <f>I273+J273/60+K273/3600-(H273+G273)/3600</f>
        <v>232</v>
      </c>
      <c r="G273" s="89"/>
      <c r="H273" s="89">
        <v>-1.0</v>
      </c>
      <c r="I273" s="88" t="str">
        <f>IF(I269&lt;180,I269+180,I269-180)</f>
        <v>232</v>
      </c>
      <c r="J273" s="88" t="str">
        <f t="shared" ref="J273:K273" si="227">J269</f>
        <v>0</v>
      </c>
      <c r="K273" s="88" t="str">
        <f t="shared" si="227"/>
        <v>45</v>
      </c>
      <c r="L273" s="87"/>
      <c r="M273" s="91"/>
      <c r="N273" s="87"/>
      <c r="O273" s="90"/>
    </row>
    <row r="274" ht="12.75" customHeight="1">
      <c r="A274" s="87"/>
      <c r="B274" s="87" t="str">
        <f t="shared" si="228"/>
        <v>52</v>
      </c>
      <c r="C274" s="87" t="str">
        <f t="shared" si="229"/>
        <v>0</v>
      </c>
      <c r="D274" s="88" t="str">
        <f t="shared" si="230"/>
        <v>45</v>
      </c>
      <c r="E274" s="88" t="str">
        <f>E273-(B275+C275/60+D275/3600)</f>
        <v>52</v>
      </c>
      <c r="F274" s="88" t="str">
        <f>IF(E274&gt;0,E274,E274+360)</f>
        <v>52</v>
      </c>
      <c r="G274" s="89"/>
      <c r="H274" s="89"/>
      <c r="I274" s="87"/>
      <c r="J274" s="87"/>
      <c r="K274" s="87"/>
      <c r="L274" s="87"/>
      <c r="M274" s="91"/>
      <c r="N274" s="87"/>
      <c r="O274" s="90"/>
    </row>
    <row r="275" ht="12.75" customHeight="1">
      <c r="A275" s="87"/>
      <c r="B275" s="87">
        <v>180.0</v>
      </c>
      <c r="C275" s="87">
        <v>0.0</v>
      </c>
      <c r="D275" s="88">
        <v>1.0</v>
      </c>
      <c r="E275" s="87"/>
      <c r="F275" s="87"/>
      <c r="G275" s="89"/>
      <c r="H275" s="89"/>
      <c r="I275" s="87"/>
      <c r="J275" s="87"/>
      <c r="K275" s="87"/>
      <c r="L275" s="87"/>
      <c r="M275" s="91"/>
      <c r="N275" s="87"/>
      <c r="O275" s="90"/>
    </row>
    <row r="276" ht="12.75" customHeight="1">
      <c r="A276" s="87"/>
      <c r="B276" s="87"/>
      <c r="C276" s="87"/>
      <c r="D276" s="88"/>
      <c r="E276" s="87"/>
      <c r="F276" s="87"/>
      <c r="G276" s="89"/>
      <c r="H276" s="89"/>
      <c r="I276" s="87"/>
      <c r="J276" s="87"/>
      <c r="K276" s="87"/>
      <c r="L276" s="87"/>
      <c r="M276" s="91"/>
      <c r="N276" s="87"/>
      <c r="O276" s="90"/>
    </row>
    <row r="277" ht="12.75" customHeight="1">
      <c r="A277" s="87" t="str">
        <f>TRVS!A75</f>
        <v>CM62</v>
      </c>
      <c r="B277" s="87" t="str">
        <f t="shared" ref="B277:B278" si="231">TRUNC(F277,0)</f>
        <v>57</v>
      </c>
      <c r="C277" s="87" t="str">
        <f t="shared" ref="C277:C278" si="232">TRUNC((F277-B277)*60,0)</f>
        <v>11</v>
      </c>
      <c r="D277" s="88" t="str">
        <f t="shared" ref="D277:D278" si="233">ROUND(((F277-B277)-C277/60)*3600,0)</f>
        <v>28</v>
      </c>
      <c r="E277" s="88" t="str">
        <f>F277</f>
        <v>57</v>
      </c>
      <c r="F277" s="88" t="str">
        <f>I277+J277/60+K277/3600-(H277+G277)/3600</f>
        <v>57</v>
      </c>
      <c r="G277" s="89" t="str">
        <f>ROUND(((B275+C275/60+D275/3600)-(B279+C279/60+D279/3600))/2*3600,0)</f>
        <v>1</v>
      </c>
      <c r="H277" s="89" t="str">
        <f>H273</f>
        <v>-1</v>
      </c>
      <c r="I277" s="88" t="str">
        <f>TRVS!B75</f>
        <v>57</v>
      </c>
      <c r="J277" s="88" t="str">
        <f>TRVS!C75</f>
        <v>11</v>
      </c>
      <c r="K277" s="88" t="str">
        <f>TRVS!D75</f>
        <v>28</v>
      </c>
      <c r="L277" s="87" t="str">
        <f>L272</f>
        <v>CM61</v>
      </c>
      <c r="M277" s="91" t="str">
        <f>TRVS!L75</f>
        <v>40.389</v>
      </c>
      <c r="N277" s="87" t="str">
        <f>A277</f>
        <v>CM62</v>
      </c>
      <c r="O277" s="90" t="str">
        <f>M277/$M$6</f>
        <v>40.412</v>
      </c>
    </row>
    <row r="278" ht="12.75" customHeight="1">
      <c r="A278" s="87"/>
      <c r="B278" s="87" t="str">
        <f t="shared" si="231"/>
        <v>237</v>
      </c>
      <c r="C278" s="87" t="str">
        <f t="shared" si="232"/>
        <v>11</v>
      </c>
      <c r="D278" s="88" t="str">
        <f t="shared" si="233"/>
        <v>30</v>
      </c>
      <c r="E278" s="88" t="str">
        <f>E277-(B279+C279/60+D279/3600)</f>
        <v>-123</v>
      </c>
      <c r="F278" s="88" t="str">
        <f>IF(E278&gt;0,E278,E278+360)</f>
        <v>237</v>
      </c>
      <c r="G278" s="89"/>
      <c r="H278" s="89"/>
      <c r="I278" s="87"/>
      <c r="J278" s="87"/>
      <c r="K278" s="87"/>
      <c r="L278" s="87"/>
      <c r="M278" s="91"/>
      <c r="N278" s="87"/>
      <c r="O278" s="90"/>
    </row>
    <row r="279" ht="12.75" customHeight="1">
      <c r="A279" s="87"/>
      <c r="B279" s="87">
        <v>179.0</v>
      </c>
      <c r="C279" s="87">
        <v>59.0</v>
      </c>
      <c r="D279" s="88">
        <v>58.0</v>
      </c>
      <c r="E279" s="87"/>
      <c r="F279" s="87"/>
      <c r="G279" s="89"/>
      <c r="H279" s="89"/>
      <c r="I279" s="87"/>
      <c r="J279" s="87"/>
      <c r="K279" s="87"/>
      <c r="L279" s="87"/>
      <c r="M279" s="91"/>
      <c r="N279" s="87"/>
      <c r="O279" s="90"/>
    </row>
    <row r="280" ht="12.75" customHeight="1">
      <c r="A280" s="87"/>
      <c r="B280" s="87"/>
      <c r="C280" s="87"/>
      <c r="D280" s="88"/>
      <c r="E280" s="87"/>
      <c r="F280" s="87"/>
      <c r="G280" s="89"/>
      <c r="H280" s="89"/>
      <c r="I280" s="87"/>
      <c r="J280" s="87"/>
      <c r="K280" s="87" t="s">
        <v>129</v>
      </c>
      <c r="L280" s="87" t="str">
        <f>A277</f>
        <v>CM62</v>
      </c>
      <c r="M280" s="91"/>
      <c r="N280" s="87"/>
      <c r="O280" s="90"/>
    </row>
    <row r="281" ht="12.75" customHeight="1">
      <c r="A281" s="87" t="str">
        <f>L272</f>
        <v>CM61</v>
      </c>
      <c r="B281" s="87" t="str">
        <f t="shared" ref="B281:B282" si="235">TRUNC(F281,0)</f>
        <v>237</v>
      </c>
      <c r="C281" s="87" t="str">
        <f t="shared" ref="C281:C282" si="236">TRUNC((F281-B281)*60,0)</f>
        <v>11</v>
      </c>
      <c r="D281" s="88" t="str">
        <f t="shared" ref="D281:D282" si="237">ROUND(((F281-B281)-C281/60)*3600,0)</f>
        <v>29</v>
      </c>
      <c r="E281" s="88" t="str">
        <f>F281</f>
        <v>237</v>
      </c>
      <c r="F281" s="88" t="str">
        <f>I281+J281/60+K281/3600-(H281+G281)/3600</f>
        <v>237</v>
      </c>
      <c r="G281" s="89"/>
      <c r="H281" s="89">
        <v>-1.0</v>
      </c>
      <c r="I281" s="88" t="str">
        <f>IF(I277&lt;180,I277+180,I277-180)</f>
        <v>237</v>
      </c>
      <c r="J281" s="88" t="str">
        <f t="shared" ref="J281:K281" si="234">J277</f>
        <v>11</v>
      </c>
      <c r="K281" s="88" t="str">
        <f t="shared" si="234"/>
        <v>28</v>
      </c>
      <c r="L281" s="87"/>
      <c r="M281" s="91"/>
      <c r="N281" s="87"/>
      <c r="O281" s="90"/>
    </row>
    <row r="282" ht="12.75" customHeight="1">
      <c r="A282" s="87"/>
      <c r="B282" s="87" t="str">
        <f t="shared" si="235"/>
        <v>57</v>
      </c>
      <c r="C282" s="87" t="str">
        <f t="shared" si="236"/>
        <v>11</v>
      </c>
      <c r="D282" s="88" t="str">
        <f t="shared" si="237"/>
        <v>28</v>
      </c>
      <c r="E282" s="88" t="str">
        <f>E281-(B283+C283/60+D283/3600)</f>
        <v>57</v>
      </c>
      <c r="F282" s="88" t="str">
        <f>IF(E282&gt;0,E282,E282+360)</f>
        <v>57</v>
      </c>
      <c r="G282" s="89"/>
      <c r="H282" s="89"/>
      <c r="I282" s="87"/>
      <c r="J282" s="87"/>
      <c r="K282" s="87"/>
      <c r="L282" s="87"/>
      <c r="M282" s="91"/>
      <c r="N282" s="87"/>
      <c r="O282" s="90"/>
    </row>
    <row r="283" ht="12.75" customHeight="1">
      <c r="A283" s="87"/>
      <c r="B283" s="87">
        <v>180.0</v>
      </c>
      <c r="C283" s="87">
        <v>0.0</v>
      </c>
      <c r="D283" s="88">
        <v>1.0</v>
      </c>
      <c r="E283" s="87"/>
      <c r="F283" s="87"/>
      <c r="G283" s="89"/>
      <c r="H283" s="89"/>
      <c r="I283" s="87"/>
      <c r="J283" s="87"/>
      <c r="K283" s="87"/>
      <c r="L283" s="87"/>
      <c r="M283" s="91"/>
      <c r="N283" s="87"/>
      <c r="O283" s="90"/>
    </row>
    <row r="284" ht="12.75" customHeight="1">
      <c r="A284" s="87"/>
      <c r="B284" s="87"/>
      <c r="C284" s="87"/>
      <c r="D284" s="88"/>
      <c r="E284" s="87"/>
      <c r="F284" s="87"/>
      <c r="G284" s="89"/>
      <c r="H284" s="89"/>
      <c r="I284" s="87"/>
      <c r="J284" s="87"/>
      <c r="K284" s="87"/>
      <c r="L284" s="87"/>
      <c r="M284" s="91"/>
      <c r="N284" s="87"/>
      <c r="O284" s="90"/>
    </row>
    <row r="285" ht="12.75" customHeight="1">
      <c r="A285" s="87" t="str">
        <f>TRVS!A76</f>
        <v>CM63</v>
      </c>
      <c r="B285" s="87" t="str">
        <f t="shared" ref="B285:B286" si="238">TRUNC(F285,0)</f>
        <v>152</v>
      </c>
      <c r="C285" s="87" t="str">
        <f t="shared" ref="C285:C286" si="239">TRUNC((F285-B285)*60,0)</f>
        <v>23</v>
      </c>
      <c r="D285" s="88" t="str">
        <f t="shared" ref="D285:D286" si="240">ROUND(((F285-B285)-C285/60)*3600,0)</f>
        <v>28</v>
      </c>
      <c r="E285" s="88" t="str">
        <f>F285</f>
        <v>152</v>
      </c>
      <c r="F285" s="88" t="str">
        <f>I285+J285/60+K285/3600-(H285+G285)/3600</f>
        <v>152</v>
      </c>
      <c r="G285" s="89" t="str">
        <f>ROUND(((B283+C283/60+D283/3600)-(B287+C287/60+D287/3600))/2*3600,0)</f>
        <v>1</v>
      </c>
      <c r="H285" s="89" t="str">
        <f>H281</f>
        <v>-1</v>
      </c>
      <c r="I285" s="88" t="str">
        <f>TRVS!B76</f>
        <v>152</v>
      </c>
      <c r="J285" s="88" t="str">
        <f>TRVS!C76</f>
        <v>23</v>
      </c>
      <c r="K285" s="88" t="str">
        <f>TRVS!D76</f>
        <v>28</v>
      </c>
      <c r="L285" s="87" t="str">
        <f>L280</f>
        <v>CM62</v>
      </c>
      <c r="M285" s="91" t="str">
        <f>TRVS!L76</f>
        <v>113.239</v>
      </c>
      <c r="N285" s="87" t="str">
        <f>A285</f>
        <v>CM63</v>
      </c>
      <c r="O285" s="90" t="str">
        <f>M285/$M$6</f>
        <v>113.303</v>
      </c>
    </row>
    <row r="286" ht="12.75" customHeight="1">
      <c r="A286" s="87"/>
      <c r="B286" s="87" t="str">
        <f t="shared" si="238"/>
        <v>332</v>
      </c>
      <c r="C286" s="87" t="str">
        <f t="shared" si="239"/>
        <v>23</v>
      </c>
      <c r="D286" s="88" t="str">
        <f t="shared" si="240"/>
        <v>30</v>
      </c>
      <c r="E286" s="88" t="str">
        <f>E285-(B287+C287/60+D287/3600)</f>
        <v>-28</v>
      </c>
      <c r="F286" s="88" t="str">
        <f>IF(E286&gt;0,E286,E286+360)</f>
        <v>332</v>
      </c>
      <c r="G286" s="89"/>
      <c r="H286" s="89"/>
      <c r="I286" s="87"/>
      <c r="J286" s="87"/>
      <c r="K286" s="87"/>
      <c r="L286" s="87"/>
      <c r="M286" s="91"/>
      <c r="N286" s="87"/>
      <c r="O286" s="90"/>
    </row>
    <row r="287" ht="12.75" customHeight="1">
      <c r="A287" s="87"/>
      <c r="B287" s="87">
        <v>179.0</v>
      </c>
      <c r="C287" s="87">
        <v>59.0</v>
      </c>
      <c r="D287" s="88">
        <v>58.0</v>
      </c>
      <c r="E287" s="87"/>
      <c r="F287" s="87"/>
      <c r="G287" s="89"/>
      <c r="H287" s="89"/>
      <c r="I287" s="87"/>
      <c r="J287" s="87"/>
      <c r="K287" s="87"/>
      <c r="L287" s="87"/>
      <c r="M287" s="91"/>
      <c r="N287" s="87"/>
      <c r="O287" s="90"/>
    </row>
    <row r="288" ht="12.75" customHeight="1">
      <c r="A288" s="87"/>
      <c r="B288" s="87"/>
      <c r="C288" s="87"/>
      <c r="D288" s="88"/>
      <c r="E288" s="87"/>
      <c r="F288" s="87"/>
      <c r="G288" s="89"/>
      <c r="H288" s="89"/>
      <c r="I288" s="87"/>
      <c r="J288" s="87"/>
      <c r="K288" s="87" t="s">
        <v>129</v>
      </c>
      <c r="L288" s="87" t="str">
        <f>A285</f>
        <v>CM63</v>
      </c>
      <c r="M288" s="91"/>
      <c r="N288" s="87"/>
      <c r="O288" s="90"/>
    </row>
    <row r="289" ht="12.75" customHeight="1">
      <c r="A289" s="87" t="str">
        <f>L280</f>
        <v>CM62</v>
      </c>
      <c r="B289" s="87" t="str">
        <f t="shared" ref="B289:B290" si="242">TRUNC(F289,0)</f>
        <v>332</v>
      </c>
      <c r="C289" s="87" t="str">
        <f t="shared" ref="C289:C290" si="243">TRUNC((F289-B289)*60,0)</f>
        <v>23</v>
      </c>
      <c r="D289" s="88" t="str">
        <f t="shared" ref="D289:D290" si="244">ROUND(((F289-B289)-C289/60)*3600,0)</f>
        <v>28</v>
      </c>
      <c r="E289" s="88" t="str">
        <f>F289</f>
        <v>332</v>
      </c>
      <c r="F289" s="88" t="str">
        <f>I289+J289/60+K289/3600-(H289+G289)/3600</f>
        <v>332</v>
      </c>
      <c r="G289" s="89"/>
      <c r="H289" s="89">
        <v>0.0</v>
      </c>
      <c r="I289" s="88" t="str">
        <f>IF(I285&lt;180,I285+180,I285-180)</f>
        <v>332</v>
      </c>
      <c r="J289" s="88" t="str">
        <f t="shared" ref="J289:K289" si="241">J285</f>
        <v>23</v>
      </c>
      <c r="K289" s="88" t="str">
        <f t="shared" si="241"/>
        <v>28</v>
      </c>
      <c r="L289" s="87"/>
      <c r="M289" s="91"/>
      <c r="N289" s="87"/>
      <c r="O289" s="90"/>
    </row>
    <row r="290" ht="12.75" customHeight="1">
      <c r="A290" s="87"/>
      <c r="B290" s="87" t="str">
        <f t="shared" si="242"/>
        <v>152</v>
      </c>
      <c r="C290" s="87" t="str">
        <f t="shared" si="243"/>
        <v>23</v>
      </c>
      <c r="D290" s="88" t="str">
        <f t="shared" si="244"/>
        <v>23</v>
      </c>
      <c r="E290" s="88" t="str">
        <f>E289-(B291+C291/60+D291/3600)</f>
        <v>152</v>
      </c>
      <c r="F290" s="88" t="str">
        <f>IF(E290&gt;0,E290,E290+360)</f>
        <v>152</v>
      </c>
      <c r="G290" s="89"/>
      <c r="H290" s="89"/>
      <c r="I290" s="87"/>
      <c r="J290" s="87"/>
      <c r="K290" s="87"/>
      <c r="L290" s="87"/>
      <c r="M290" s="91"/>
      <c r="N290" s="87"/>
      <c r="O290" s="90"/>
    </row>
    <row r="291" ht="12.75" customHeight="1">
      <c r="A291" s="87"/>
      <c r="B291" s="87">
        <v>180.0</v>
      </c>
      <c r="C291" s="87">
        <v>0.0</v>
      </c>
      <c r="D291" s="88">
        <v>5.0</v>
      </c>
      <c r="E291" s="87"/>
      <c r="F291" s="87"/>
      <c r="G291" s="89"/>
      <c r="H291" s="89"/>
      <c r="I291" s="87"/>
      <c r="J291" s="87"/>
      <c r="K291" s="87"/>
      <c r="L291" s="87"/>
      <c r="M291" s="91"/>
      <c r="N291" s="87"/>
      <c r="O291" s="90"/>
    </row>
    <row r="292" ht="12.75" customHeight="1">
      <c r="A292" s="87"/>
      <c r="B292" s="87"/>
      <c r="C292" s="87"/>
      <c r="D292" s="88"/>
      <c r="E292" s="87"/>
      <c r="F292" s="87"/>
      <c r="G292" s="89"/>
      <c r="H292" s="89"/>
      <c r="I292" s="87"/>
      <c r="J292" s="87"/>
      <c r="K292" s="87"/>
      <c r="L292" s="87"/>
      <c r="M292" s="91"/>
      <c r="N292" s="87"/>
      <c r="O292" s="90"/>
    </row>
    <row r="293" ht="12.75" customHeight="1">
      <c r="A293" s="87" t="str">
        <f>TRVS!A77</f>
        <v>CM64</v>
      </c>
      <c r="B293" s="87" t="str">
        <f t="shared" ref="B293:B294" si="245">TRUNC(F293,0)</f>
        <v>151</v>
      </c>
      <c r="C293" s="87" t="str">
        <f t="shared" ref="C293:C294" si="246">TRUNC((F293-B293)*60,0)</f>
        <v>31</v>
      </c>
      <c r="D293" s="88" t="str">
        <f t="shared" ref="D293:D294" si="247">ROUND(((F293-B293)-C293/60)*3600,0)</f>
        <v>60</v>
      </c>
      <c r="E293" s="88" t="str">
        <f>F293</f>
        <v>152</v>
      </c>
      <c r="F293" s="88" t="str">
        <f>I293+J293/60+K293/3600-(H293+G293)/3600</f>
        <v>152</v>
      </c>
      <c r="G293" s="89" t="str">
        <f>ROUND(((B291+C291/60+D291/3600)-(B295+C295/60+D295/3600))/2*3600,0)</f>
        <v>4</v>
      </c>
      <c r="H293" s="89" t="str">
        <f>H289</f>
        <v>0</v>
      </c>
      <c r="I293" s="88" t="str">
        <f>TRVS!B77</f>
        <v>151</v>
      </c>
      <c r="J293" s="88" t="str">
        <f>TRVS!C77</f>
        <v>32</v>
      </c>
      <c r="K293" s="88" t="str">
        <f>TRVS!D77</f>
        <v>4</v>
      </c>
      <c r="L293" s="87" t="str">
        <f>L288</f>
        <v>CM63</v>
      </c>
      <c r="M293" s="91" t="str">
        <f>TRVS!L77</f>
        <v>55.597</v>
      </c>
      <c r="N293" s="87" t="str">
        <f>A293</f>
        <v>CM64</v>
      </c>
      <c r="O293" s="90" t="str">
        <f>M293/$M$6</f>
        <v>55.629</v>
      </c>
    </row>
    <row r="294" ht="12.75" customHeight="1">
      <c r="A294" s="87"/>
      <c r="B294" s="87" t="str">
        <f t="shared" si="245"/>
        <v>331</v>
      </c>
      <c r="C294" s="87" t="str">
        <f t="shared" si="246"/>
        <v>32</v>
      </c>
      <c r="D294" s="88" t="str">
        <f t="shared" si="247"/>
        <v>2</v>
      </c>
      <c r="E294" s="88" t="str">
        <f>E293-(B295+C295/60+D295/3600)</f>
        <v>-28</v>
      </c>
      <c r="F294" s="88" t="str">
        <f>IF(E294&gt;0,E294,E294+360)</f>
        <v>332</v>
      </c>
      <c r="G294" s="89"/>
      <c r="H294" s="89"/>
      <c r="I294" s="87"/>
      <c r="J294" s="87"/>
      <c r="K294" s="87"/>
      <c r="L294" s="87"/>
      <c r="M294" s="91"/>
      <c r="N294" s="87"/>
      <c r="O294" s="90"/>
    </row>
    <row r="295" ht="12.75" customHeight="1">
      <c r="A295" s="87"/>
      <c r="B295" s="87">
        <v>179.0</v>
      </c>
      <c r="C295" s="87">
        <v>59.0</v>
      </c>
      <c r="D295" s="88">
        <v>58.0</v>
      </c>
      <c r="E295" s="87"/>
      <c r="F295" s="87"/>
      <c r="G295" s="89"/>
      <c r="H295" s="89"/>
      <c r="I295" s="87"/>
      <c r="J295" s="87"/>
      <c r="K295" s="87"/>
      <c r="L295" s="87"/>
      <c r="M295" s="91"/>
      <c r="N295" s="87"/>
      <c r="O295" s="90"/>
    </row>
    <row r="296" ht="12.75" customHeight="1">
      <c r="A296" s="87"/>
      <c r="B296" s="87"/>
      <c r="C296" s="87"/>
      <c r="D296" s="88"/>
      <c r="E296" s="87"/>
      <c r="F296" s="87"/>
      <c r="G296" s="89"/>
      <c r="H296" s="89"/>
      <c r="I296" s="87"/>
      <c r="J296" s="87"/>
      <c r="K296" s="87" t="s">
        <v>129</v>
      </c>
      <c r="L296" s="87" t="str">
        <f>A293</f>
        <v>CM64</v>
      </c>
      <c r="M296" s="91"/>
      <c r="N296" s="87"/>
      <c r="O296" s="90"/>
    </row>
    <row r="297" ht="12.75" customHeight="1">
      <c r="A297" s="87" t="str">
        <f>L288</f>
        <v>CM63</v>
      </c>
      <c r="B297" s="87" t="str">
        <f t="shared" ref="B297:B298" si="249">TRUNC(F297,0)</f>
        <v>331</v>
      </c>
      <c r="C297" s="87" t="str">
        <f t="shared" ref="C297:C298" si="250">TRUNC((F297-B297)*60,0)</f>
        <v>32</v>
      </c>
      <c r="D297" s="88" t="str">
        <f t="shared" ref="D297:D298" si="251">ROUND(((F297-B297)-C297/60)*3600,0)</f>
        <v>3</v>
      </c>
      <c r="E297" s="88" t="str">
        <f>F297</f>
        <v>332</v>
      </c>
      <c r="F297" s="88" t="str">
        <f>I297+J297/60+K297/3600-(H297+G297)/3600</f>
        <v>332</v>
      </c>
      <c r="G297" s="89"/>
      <c r="H297" s="89">
        <v>1.0</v>
      </c>
      <c r="I297" s="88" t="str">
        <f>IF(I293&lt;180,I293+180,I293-180)</f>
        <v>331</v>
      </c>
      <c r="J297" s="88" t="str">
        <f t="shared" ref="J297:K297" si="248">J293</f>
        <v>32</v>
      </c>
      <c r="K297" s="88" t="str">
        <f t="shared" si="248"/>
        <v>4</v>
      </c>
      <c r="L297" s="87"/>
      <c r="M297" s="91"/>
      <c r="N297" s="87"/>
      <c r="O297" s="90"/>
    </row>
    <row r="298" ht="12.75" customHeight="1">
      <c r="A298" s="87"/>
      <c r="B298" s="87" t="str">
        <f t="shared" si="249"/>
        <v>151</v>
      </c>
      <c r="C298" s="87" t="str">
        <f t="shared" si="250"/>
        <v>32</v>
      </c>
      <c r="D298" s="88" t="str">
        <f t="shared" si="251"/>
        <v>2</v>
      </c>
      <c r="E298" s="88" t="str">
        <f>E297-(B299+C299/60+D299/3600)</f>
        <v>152</v>
      </c>
      <c r="F298" s="88" t="str">
        <f>IF(E298&gt;0,E298,E298+360)</f>
        <v>152</v>
      </c>
      <c r="G298" s="89"/>
      <c r="H298" s="89"/>
      <c r="I298" s="87"/>
      <c r="J298" s="87"/>
      <c r="K298" s="87"/>
      <c r="L298" s="87"/>
      <c r="M298" s="91"/>
      <c r="N298" s="87"/>
      <c r="O298" s="90"/>
    </row>
    <row r="299" ht="12.75" customHeight="1">
      <c r="A299" s="87"/>
      <c r="B299" s="87">
        <v>180.0</v>
      </c>
      <c r="C299" s="87">
        <v>0.0</v>
      </c>
      <c r="D299" s="88">
        <v>1.0</v>
      </c>
      <c r="E299" s="87"/>
      <c r="F299" s="87"/>
      <c r="G299" s="89"/>
      <c r="H299" s="89"/>
      <c r="I299" s="87"/>
      <c r="J299" s="87"/>
      <c r="K299" s="87"/>
      <c r="L299" s="87"/>
      <c r="M299" s="91"/>
      <c r="N299" s="87"/>
      <c r="O299" s="90"/>
    </row>
    <row r="300" ht="12.75" customHeight="1">
      <c r="A300" s="87"/>
      <c r="B300" s="87"/>
      <c r="C300" s="87"/>
      <c r="D300" s="88"/>
      <c r="E300" s="87"/>
      <c r="F300" s="87"/>
      <c r="G300" s="89"/>
      <c r="H300" s="89"/>
      <c r="I300" s="87"/>
      <c r="J300" s="87"/>
      <c r="K300" s="87"/>
      <c r="L300" s="87"/>
      <c r="M300" s="91"/>
      <c r="N300" s="87"/>
      <c r="O300" s="90"/>
    </row>
    <row r="301" ht="12.75" customHeight="1">
      <c r="A301" s="87" t="str">
        <f>TRVS!A78</f>
        <v>CM65</v>
      </c>
      <c r="B301" s="87" t="str">
        <f t="shared" ref="B301:B302" si="252">TRUNC(F301,0)</f>
        <v>150</v>
      </c>
      <c r="C301" s="87" t="str">
        <f t="shared" ref="C301:C302" si="253">TRUNC((F301-B301)*60,0)</f>
        <v>13</v>
      </c>
      <c r="D301" s="88" t="str">
        <f t="shared" ref="D301:D302" si="254">ROUND(((F301-B301)-C301/60)*3600,0)</f>
        <v>60</v>
      </c>
      <c r="E301" s="88" t="str">
        <f>F301</f>
        <v>150</v>
      </c>
      <c r="F301" s="88" t="str">
        <f>I301+J301/60+K301/3600-(H301+G301)/3600</f>
        <v>150</v>
      </c>
      <c r="G301" s="89" t="str">
        <f>ROUND(((B299+C299/60+D299/3600)-(B303+C303/60+D303/3600))/2*3600,0)</f>
        <v>1</v>
      </c>
      <c r="H301" s="89" t="str">
        <f>H297</f>
        <v>1</v>
      </c>
      <c r="I301" s="88" t="str">
        <f>TRVS!B78</f>
        <v>150</v>
      </c>
      <c r="J301" s="88" t="str">
        <f>TRVS!C78</f>
        <v>14</v>
      </c>
      <c r="K301" s="88" t="str">
        <f>TRVS!D78</f>
        <v>2</v>
      </c>
      <c r="L301" s="87" t="str">
        <f>L296</f>
        <v>CM64</v>
      </c>
      <c r="M301" s="91" t="str">
        <f>TRVS!L78</f>
        <v>56.826</v>
      </c>
      <c r="N301" s="87" t="str">
        <f>A301</f>
        <v>CM65</v>
      </c>
      <c r="O301" s="90" t="str">
        <f>M301/$M$6</f>
        <v>56.858</v>
      </c>
    </row>
    <row r="302" ht="12.75" customHeight="1">
      <c r="A302" s="87"/>
      <c r="B302" s="87" t="str">
        <f t="shared" si="252"/>
        <v>330</v>
      </c>
      <c r="C302" s="87" t="str">
        <f t="shared" si="253"/>
        <v>14</v>
      </c>
      <c r="D302" s="88" t="str">
        <f t="shared" si="254"/>
        <v>2</v>
      </c>
      <c r="E302" s="88" t="str">
        <f>E301-(B303+C303/60+D303/3600)</f>
        <v>-30</v>
      </c>
      <c r="F302" s="88" t="str">
        <f>IF(E302&gt;0,E302,E302+360)</f>
        <v>330</v>
      </c>
      <c r="G302" s="89"/>
      <c r="H302" s="89"/>
      <c r="I302" s="87"/>
      <c r="J302" s="87"/>
      <c r="K302" s="87"/>
      <c r="L302" s="87"/>
      <c r="M302" s="91"/>
      <c r="N302" s="87"/>
      <c r="O302" s="90"/>
    </row>
    <row r="303" ht="12.75" customHeight="1">
      <c r="A303" s="87"/>
      <c r="B303" s="87">
        <v>179.0</v>
      </c>
      <c r="C303" s="87">
        <v>59.0</v>
      </c>
      <c r="D303" s="88">
        <v>58.0</v>
      </c>
      <c r="E303" s="87"/>
      <c r="F303" s="87"/>
      <c r="G303" s="89"/>
      <c r="H303" s="89"/>
      <c r="I303" s="87"/>
      <c r="J303" s="87"/>
      <c r="K303" s="87"/>
      <c r="L303" s="87"/>
      <c r="M303" s="91"/>
      <c r="N303" s="87"/>
      <c r="O303" s="90"/>
    </row>
    <row r="304" ht="12.75" customHeight="1">
      <c r="A304" s="87"/>
      <c r="B304" s="87"/>
      <c r="C304" s="87"/>
      <c r="D304" s="88"/>
      <c r="E304" s="87"/>
      <c r="F304" s="87"/>
      <c r="G304" s="89"/>
      <c r="H304" s="89"/>
      <c r="I304" s="87"/>
      <c r="J304" s="87"/>
      <c r="K304" s="87" t="s">
        <v>129</v>
      </c>
      <c r="L304" s="87" t="str">
        <f>A301</f>
        <v>CM65</v>
      </c>
      <c r="M304" s="91"/>
      <c r="N304" s="87"/>
      <c r="O304" s="90"/>
    </row>
    <row r="305" ht="12.75" customHeight="1">
      <c r="A305" s="87" t="str">
        <f>L296</f>
        <v>CM64</v>
      </c>
      <c r="B305" s="87" t="str">
        <f t="shared" ref="B305:B306" si="256">TRUNC(F305,0)</f>
        <v>330</v>
      </c>
      <c r="C305" s="87" t="str">
        <f t="shared" ref="C305:C306" si="257">TRUNC((F305-B305)*60,0)</f>
        <v>14</v>
      </c>
      <c r="D305" s="88" t="str">
        <f t="shared" ref="D305:D306" si="258">ROUND(((F305-B305)-C305/60)*3600,0)</f>
        <v>1</v>
      </c>
      <c r="E305" s="88" t="str">
        <f>F305</f>
        <v>330</v>
      </c>
      <c r="F305" s="88" t="str">
        <f>I305+J305/60+K305/3600-(H305+G305)/3600</f>
        <v>330</v>
      </c>
      <c r="G305" s="89"/>
      <c r="H305" s="89">
        <v>1.0</v>
      </c>
      <c r="I305" s="88" t="str">
        <f>IF(I301&lt;180,I301+180,I301-180)</f>
        <v>330</v>
      </c>
      <c r="J305" s="88" t="str">
        <f t="shared" ref="J305:K305" si="255">J301</f>
        <v>14</v>
      </c>
      <c r="K305" s="88" t="str">
        <f t="shared" si="255"/>
        <v>2</v>
      </c>
      <c r="L305" s="87"/>
      <c r="M305" s="91"/>
      <c r="N305" s="87"/>
      <c r="O305" s="90"/>
    </row>
    <row r="306" ht="12.75" customHeight="1">
      <c r="A306" s="87"/>
      <c r="B306" s="87" t="str">
        <f t="shared" si="256"/>
        <v>150</v>
      </c>
      <c r="C306" s="87" t="str">
        <f t="shared" si="257"/>
        <v>13</v>
      </c>
      <c r="D306" s="88" t="str">
        <f t="shared" si="258"/>
        <v>60</v>
      </c>
      <c r="E306" s="88" t="str">
        <f>E305-(B307+C307/60+D307/3600)</f>
        <v>150</v>
      </c>
      <c r="F306" s="88" t="str">
        <f>IF(E306&gt;0,E306,E306+360)</f>
        <v>150</v>
      </c>
      <c r="G306" s="89"/>
      <c r="H306" s="89"/>
      <c r="I306" s="87"/>
      <c r="J306" s="87"/>
      <c r="K306" s="87"/>
      <c r="L306" s="87"/>
      <c r="M306" s="91"/>
      <c r="N306" s="87"/>
      <c r="O306" s="90"/>
    </row>
    <row r="307" ht="12.75" customHeight="1">
      <c r="A307" s="87"/>
      <c r="B307" s="87">
        <v>180.0</v>
      </c>
      <c r="C307" s="87">
        <v>0.0</v>
      </c>
      <c r="D307" s="88">
        <v>1.0</v>
      </c>
      <c r="E307" s="87"/>
      <c r="F307" s="87"/>
      <c r="G307" s="89"/>
      <c r="H307" s="89"/>
      <c r="I307" s="87"/>
      <c r="J307" s="87"/>
      <c r="K307" s="87"/>
      <c r="L307" s="87"/>
      <c r="M307" s="91"/>
      <c r="N307" s="87"/>
      <c r="O307" s="90"/>
    </row>
    <row r="308" ht="12.75" customHeight="1">
      <c r="A308" s="87"/>
      <c r="B308" s="87"/>
      <c r="C308" s="87"/>
      <c r="D308" s="88"/>
      <c r="E308" s="87"/>
      <c r="F308" s="87"/>
      <c r="G308" s="89"/>
      <c r="H308" s="89"/>
      <c r="I308" s="87"/>
      <c r="J308" s="87"/>
      <c r="K308" s="87"/>
      <c r="L308" s="87"/>
      <c r="M308" s="91"/>
      <c r="N308" s="87"/>
      <c r="O308" s="90"/>
    </row>
    <row r="309" ht="12.75" customHeight="1">
      <c r="A309" s="87" t="str">
        <f>TRVS!A79</f>
        <v>cm2</v>
      </c>
      <c r="B309" s="87" t="str">
        <f t="shared" ref="B309:B310" si="259">TRUNC(F309,0)</f>
        <v>315</v>
      </c>
      <c r="C309" s="87" t="str">
        <f t="shared" ref="C309:C310" si="260">TRUNC((F309-B309)*60,0)</f>
        <v>4</v>
      </c>
      <c r="D309" s="88" t="str">
        <f t="shared" ref="D309:D310" si="261">ROUND(((F309-B309)-C309/60)*3600,0)</f>
        <v>31</v>
      </c>
      <c r="E309" s="88" t="str">
        <f>F309</f>
        <v>315</v>
      </c>
      <c r="F309" s="88" t="str">
        <f>I309+J309/60+K309/3600-(H309+G309)/3600</f>
        <v>315</v>
      </c>
      <c r="G309" s="89" t="str">
        <f>ROUND(((B307+C307/60+D307/3600)-(B311+C311/60+D311/3600))/2*3600,0)</f>
        <v>1</v>
      </c>
      <c r="H309" s="89" t="str">
        <f>H305</f>
        <v>1</v>
      </c>
      <c r="I309" s="88" t="str">
        <f>TRVS!B79</f>
        <v>315</v>
      </c>
      <c r="J309" s="88" t="str">
        <f>TRVS!C79</f>
        <v>4</v>
      </c>
      <c r="K309" s="88" t="str">
        <f>TRVS!D79</f>
        <v>33</v>
      </c>
      <c r="L309" s="87" t="str">
        <f>L304</f>
        <v>CM65</v>
      </c>
      <c r="M309" s="91" t="str">
        <f>TRVS!L79</f>
        <v>305.596</v>
      </c>
      <c r="N309" s="87" t="str">
        <f>A309</f>
        <v>cm2</v>
      </c>
      <c r="O309" s="90" t="str">
        <f>M309/$M$6</f>
        <v>305.768</v>
      </c>
    </row>
    <row r="310" ht="12.75" customHeight="1">
      <c r="A310" s="87"/>
      <c r="B310" s="87" t="str">
        <f t="shared" si="259"/>
        <v>135</v>
      </c>
      <c r="C310" s="87" t="str">
        <f t="shared" si="260"/>
        <v>4</v>
      </c>
      <c r="D310" s="88" t="str">
        <f t="shared" si="261"/>
        <v>33</v>
      </c>
      <c r="E310" s="88" t="str">
        <f>E309-(B311+C311/60+D311/3600)</f>
        <v>135</v>
      </c>
      <c r="F310" s="88" t="str">
        <f>IF(E310&gt;0,E310,E310+360)</f>
        <v>135</v>
      </c>
      <c r="G310" s="89"/>
      <c r="H310" s="89"/>
      <c r="I310" s="87"/>
      <c r="J310" s="87"/>
      <c r="K310" s="87"/>
      <c r="L310" s="87"/>
      <c r="M310" s="91"/>
      <c r="N310" s="87"/>
      <c r="O310" s="90"/>
    </row>
    <row r="311" ht="12.75" customHeight="1">
      <c r="A311" s="87"/>
      <c r="B311" s="87">
        <v>179.0</v>
      </c>
      <c r="C311" s="87">
        <v>59.0</v>
      </c>
      <c r="D311" s="88">
        <v>58.0</v>
      </c>
      <c r="E311" s="87"/>
      <c r="F311" s="87"/>
      <c r="G311" s="89"/>
      <c r="H311" s="89"/>
      <c r="I311" s="87"/>
      <c r="J311" s="87"/>
      <c r="K311" s="87"/>
      <c r="L311" s="87"/>
      <c r="M311" s="91"/>
      <c r="N311" s="87"/>
      <c r="O311" s="90"/>
    </row>
    <row r="312" ht="12.75" customHeight="1">
      <c r="A312" s="87"/>
      <c r="B312" s="87"/>
      <c r="C312" s="87"/>
      <c r="D312" s="88"/>
      <c r="E312" s="87"/>
      <c r="F312" s="87"/>
      <c r="G312" s="89"/>
      <c r="H312" s="89"/>
      <c r="I312" s="87"/>
      <c r="J312" s="87"/>
      <c r="K312" s="87" t="s">
        <v>129</v>
      </c>
      <c r="L312" s="87" t="str">
        <f>A309</f>
        <v>cm2</v>
      </c>
      <c r="M312" s="91"/>
      <c r="N312" s="87"/>
      <c r="O312" s="90"/>
    </row>
    <row r="313" ht="12.75" customHeight="1">
      <c r="A313" s="87" t="str">
        <f>L304</f>
        <v>CM65</v>
      </c>
      <c r="B313" s="87" t="str">
        <f t="shared" ref="B313:B314" si="263">TRUNC(F313,0)</f>
        <v>135</v>
      </c>
      <c r="C313" s="87" t="str">
        <f t="shared" ref="C313:C314" si="264">TRUNC((F313-B313)*60,0)</f>
        <v>4</v>
      </c>
      <c r="D313" s="88" t="str">
        <f t="shared" ref="D313:D314" si="265">ROUND(((F313-B313)-C313/60)*3600,0)</f>
        <v>32</v>
      </c>
      <c r="E313" s="88" t="str">
        <f>F313</f>
        <v>135</v>
      </c>
      <c r="F313" s="88" t="str">
        <f>I313+J313/60+K313/3600-(H313+G313)/3600</f>
        <v>135</v>
      </c>
      <c r="G313" s="89"/>
      <c r="H313" s="89">
        <v>1.0</v>
      </c>
      <c r="I313" s="88" t="str">
        <f>IF(I309&lt;180,I309+180,I309-180)</f>
        <v>135</v>
      </c>
      <c r="J313" s="88" t="str">
        <f t="shared" ref="J313:K313" si="262">J309</f>
        <v>4</v>
      </c>
      <c r="K313" s="88" t="str">
        <f t="shared" si="262"/>
        <v>33</v>
      </c>
      <c r="L313" s="87"/>
      <c r="M313" s="91"/>
      <c r="N313" s="87"/>
      <c r="O313" s="90"/>
    </row>
    <row r="314" ht="12.75" customHeight="1">
      <c r="A314" s="87"/>
      <c r="B314" s="87" t="str">
        <f t="shared" si="263"/>
        <v>315</v>
      </c>
      <c r="C314" s="87" t="str">
        <f t="shared" si="264"/>
        <v>4</v>
      </c>
      <c r="D314" s="88" t="str">
        <f t="shared" si="265"/>
        <v>31</v>
      </c>
      <c r="E314" s="88" t="str">
        <f>E313-(B315+C315/60+D315/3600)</f>
        <v>-45</v>
      </c>
      <c r="F314" s="88" t="str">
        <f>IF(E314&gt;0,E314,E314+360)</f>
        <v>315</v>
      </c>
      <c r="G314" s="89"/>
      <c r="H314" s="89"/>
      <c r="I314" s="87"/>
      <c r="J314" s="87"/>
      <c r="K314" s="87"/>
      <c r="L314" s="87"/>
      <c r="M314" s="91"/>
      <c r="N314" s="87"/>
      <c r="O314" s="90"/>
    </row>
    <row r="315" ht="12.75" customHeight="1">
      <c r="A315" s="87"/>
      <c r="B315" s="87">
        <v>180.0</v>
      </c>
      <c r="C315" s="87">
        <v>0.0</v>
      </c>
      <c r="D315" s="88">
        <v>1.0</v>
      </c>
      <c r="E315" s="87"/>
      <c r="F315" s="87"/>
      <c r="G315" s="89"/>
      <c r="H315" s="89"/>
      <c r="I315" s="87"/>
      <c r="J315" s="87"/>
      <c r="K315" s="87"/>
      <c r="L315" s="87"/>
      <c r="M315" s="91"/>
      <c r="N315" s="87"/>
      <c r="O315" s="90"/>
    </row>
    <row r="316" ht="12.75" customHeight="1">
      <c r="A316" s="87" t="str">
        <f>TRVS!A80</f>
        <v>DD/6126</v>
      </c>
      <c r="B316" s="87" t="str">
        <f t="shared" ref="B316:B317" si="266">TRUNC(F316,0)</f>
        <v>99</v>
      </c>
      <c r="C316" s="87" t="str">
        <f t="shared" ref="C316:C317" si="267">TRUNC((F316-B316)*60,0)</f>
        <v>44</v>
      </c>
      <c r="D316" s="88" t="str">
        <f t="shared" ref="D316:D317" si="268">ROUND(((F316-B316)-C316/60)*3600,0)</f>
        <v>30</v>
      </c>
      <c r="E316" s="88" t="str">
        <f>F316</f>
        <v>100</v>
      </c>
      <c r="F316" s="88" t="str">
        <f>I316+J316/60+K316/3600-(H316+G316)/3600</f>
        <v>100</v>
      </c>
      <c r="G316" s="89"/>
      <c r="H316" s="89">
        <v>1.0</v>
      </c>
      <c r="I316" s="88" t="str">
        <f>TRVS!B80</f>
        <v>99</v>
      </c>
      <c r="J316" s="88" t="str">
        <f>TRVS!C80</f>
        <v>44</v>
      </c>
      <c r="K316" s="88" t="str">
        <f>TRVS!D80</f>
        <v>31</v>
      </c>
      <c r="L316" s="87"/>
      <c r="M316" s="91"/>
      <c r="N316" s="87"/>
      <c r="O316" s="90"/>
    </row>
    <row r="317" ht="12.75" customHeight="1">
      <c r="A317" s="87"/>
      <c r="B317" s="87" t="str">
        <f t="shared" si="266"/>
        <v>279</v>
      </c>
      <c r="C317" s="87" t="str">
        <f t="shared" si="267"/>
        <v>44</v>
      </c>
      <c r="D317" s="88" t="str">
        <f t="shared" si="268"/>
        <v>29</v>
      </c>
      <c r="E317" s="88" t="str">
        <f>E316-(B318+C318/60+D318/3600)</f>
        <v>-80</v>
      </c>
      <c r="F317" s="88" t="str">
        <f>IF(E317&gt;0,E317,E317+360)</f>
        <v>280</v>
      </c>
      <c r="G317" s="89"/>
      <c r="H317" s="89"/>
      <c r="I317" s="87"/>
      <c r="J317" s="87"/>
      <c r="K317" s="87"/>
      <c r="L317" s="87"/>
      <c r="M317" s="91"/>
      <c r="N317" s="87"/>
      <c r="O317" s="90"/>
    </row>
    <row r="318" ht="12.75" customHeight="1">
      <c r="A318" s="87"/>
      <c r="B318" s="87">
        <v>180.0</v>
      </c>
      <c r="C318" s="87">
        <v>0.0</v>
      </c>
      <c r="D318" s="88">
        <v>1.0</v>
      </c>
      <c r="E318" s="87"/>
      <c r="F318" s="87"/>
      <c r="G318" s="89"/>
      <c r="H318" s="89"/>
      <c r="I318" s="87"/>
      <c r="J318" s="87"/>
      <c r="K318" s="87"/>
      <c r="L318" s="87"/>
      <c r="M318" s="91"/>
      <c r="N318" s="87"/>
      <c r="O318" s="90"/>
    </row>
    <row r="319" ht="12.75" customHeight="1">
      <c r="A319" s="87"/>
      <c r="B319" s="87"/>
      <c r="C319" s="87"/>
      <c r="D319" s="88"/>
      <c r="E319" s="87"/>
      <c r="F319" s="87"/>
      <c r="G319" s="89"/>
      <c r="H319" s="89"/>
      <c r="I319" s="87"/>
      <c r="J319" s="87"/>
      <c r="K319" s="87"/>
      <c r="L319" s="87"/>
      <c r="M319" s="91"/>
      <c r="N319" s="87"/>
      <c r="O319" s="90"/>
    </row>
    <row r="320" ht="12.75" customHeight="1">
      <c r="A320" s="87" t="str">
        <f>TRVS!A81</f>
        <v>cm1</v>
      </c>
      <c r="B320" s="87" t="str">
        <f t="shared" ref="B320:B321" si="269">TRUNC(F320,0)</f>
        <v>60</v>
      </c>
      <c r="C320" s="87" t="str">
        <f t="shared" ref="C320:C321" si="270">TRUNC((F320-B320)*60,0)</f>
        <v>16</v>
      </c>
      <c r="D320" s="88" t="str">
        <f t="shared" ref="D320:D321" si="271">ROUND(((F320-B320)-C320/60)*3600,0)</f>
        <v>24</v>
      </c>
      <c r="E320" s="88" t="str">
        <f>F320</f>
        <v>60</v>
      </c>
      <c r="F320" s="88" t="str">
        <f>I320+J320/60+K320/3600-(H320+G320)/3600</f>
        <v>60</v>
      </c>
      <c r="G320" s="89" t="str">
        <f>ROUND(((B318+C318/60+D318/3600)-(B322+C322/60+D322/3600))/2*3600,0)</f>
        <v>1</v>
      </c>
      <c r="H320" s="89" t="str">
        <f>H316</f>
        <v>1</v>
      </c>
      <c r="I320" s="88" t="str">
        <f>TRVS!B81</f>
        <v>60</v>
      </c>
      <c r="J320" s="88" t="str">
        <f>TRVS!C81</f>
        <v>16</v>
      </c>
      <c r="K320" s="88" t="str">
        <f>TRVS!D81</f>
        <v>26</v>
      </c>
      <c r="L320" s="87"/>
      <c r="M320" s="91"/>
      <c r="N320" s="87"/>
      <c r="O320" s="90"/>
    </row>
    <row r="321" ht="12.75" customHeight="1">
      <c r="A321" s="87"/>
      <c r="B321" s="87" t="str">
        <f t="shared" si="269"/>
        <v>240</v>
      </c>
      <c r="C321" s="87" t="str">
        <f t="shared" si="270"/>
        <v>16</v>
      </c>
      <c r="D321" s="88" t="str">
        <f t="shared" si="271"/>
        <v>26</v>
      </c>
      <c r="E321" s="88" t="str">
        <f>E320-(B322+C322/60+D322/3600)</f>
        <v>-120</v>
      </c>
      <c r="F321" s="88" t="str">
        <f>IF(E321&gt;0,E321,E321+360)</f>
        <v>240</v>
      </c>
      <c r="G321" s="89"/>
      <c r="H321" s="89"/>
      <c r="I321" s="87"/>
      <c r="J321" s="87"/>
      <c r="K321" s="87"/>
      <c r="L321" s="87"/>
      <c r="M321" s="89"/>
      <c r="N321" s="87"/>
      <c r="O321" s="90"/>
    </row>
    <row r="322" ht="12.75" customHeight="1">
      <c r="A322" s="87"/>
      <c r="B322" s="87">
        <v>179.0</v>
      </c>
      <c r="C322" s="87">
        <v>59.0</v>
      </c>
      <c r="D322" s="88">
        <v>58.0</v>
      </c>
      <c r="E322" s="87"/>
      <c r="F322" s="87"/>
      <c r="G322" s="89"/>
      <c r="H322" s="89"/>
      <c r="I322" s="87"/>
      <c r="J322" s="87"/>
      <c r="K322" s="87"/>
      <c r="L322" s="87"/>
      <c r="M322" s="89"/>
      <c r="N322" s="87"/>
      <c r="O322" s="90"/>
    </row>
    <row r="323" ht="12.75" customHeight="1">
      <c r="A323" s="92" t="s">
        <v>130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62"/>
    </row>
  </sheetData>
  <mergeCells count="8">
    <mergeCell ref="B7:F7"/>
    <mergeCell ref="I7:K7"/>
    <mergeCell ref="G7:H7"/>
    <mergeCell ref="A5:O5"/>
    <mergeCell ref="A323:O323"/>
    <mergeCell ref="B1:F1"/>
    <mergeCell ref="G1:H1"/>
    <mergeCell ref="I1:K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4.71"/>
    <col customWidth="1" min="3" max="3" width="3.71"/>
    <col customWidth="1" min="4" max="4" width="3.57"/>
    <col customWidth="1" min="5" max="5" width="5.29"/>
    <col customWidth="1" hidden="1" min="6" max="6" width="7.86"/>
    <col customWidth="1" min="7" max="7" width="6.0"/>
    <col customWidth="1" min="8" max="8" width="5.57"/>
    <col customWidth="1" min="9" max="9" width="4.86"/>
    <col customWidth="1" hidden="1" min="10" max="10" width="7.86"/>
    <col customWidth="1" hidden="1" min="11" max="11" width="5.43"/>
    <col customWidth="1" min="12" max="12" width="13.0"/>
    <col customWidth="1" hidden="1" min="13" max="13" width="13.43"/>
    <col customWidth="1" min="14" max="14" width="11.29"/>
    <col customWidth="1" hidden="1" min="15" max="15" width="13.29"/>
    <col customWidth="1" min="16" max="16" width="7.14"/>
    <col customWidth="1" min="17" max="17" width="12.86"/>
    <col customWidth="1" min="18" max="18" width="7.86"/>
    <col customWidth="1" min="19" max="19" width="10.29"/>
    <col customWidth="1" min="20" max="20" width="11.57"/>
    <col customWidth="1" min="21" max="21" width="11.29"/>
    <col customWidth="1" min="22" max="22" width="14.86"/>
    <col customWidth="1" min="23" max="23" width="7.57"/>
    <col customWidth="1" min="24" max="24" width="7.86"/>
    <col customWidth="1" min="25" max="26" width="7.57"/>
    <col customWidth="1" min="27" max="27" width="9.29"/>
    <col customWidth="1" min="28" max="29" width="10.43"/>
    <col customWidth="1" min="30" max="30" width="7.57"/>
  </cols>
  <sheetData>
    <row r="1">
      <c r="A1" s="93" t="s">
        <v>41</v>
      </c>
      <c r="B1" s="94" t="s">
        <v>125</v>
      </c>
      <c r="C1" s="95"/>
      <c r="D1" s="96"/>
      <c r="E1" s="97" t="s">
        <v>124</v>
      </c>
      <c r="F1" s="93"/>
      <c r="G1" s="94" t="s">
        <v>131</v>
      </c>
      <c r="H1" s="95"/>
      <c r="I1" s="96"/>
      <c r="J1" s="98"/>
      <c r="K1" s="98"/>
      <c r="L1" s="99" t="s">
        <v>132</v>
      </c>
      <c r="M1" s="99"/>
      <c r="N1" s="100" t="s">
        <v>133</v>
      </c>
      <c r="O1" s="100"/>
      <c r="P1" s="101" t="s">
        <v>124</v>
      </c>
      <c r="Q1" s="100" t="s">
        <v>134</v>
      </c>
      <c r="R1" s="101" t="s">
        <v>124</v>
      </c>
      <c r="S1" s="93" t="s">
        <v>41</v>
      </c>
      <c r="T1" s="102" t="s">
        <v>135</v>
      </c>
      <c r="U1" s="102" t="s">
        <v>136</v>
      </c>
      <c r="V1" s="93" t="s">
        <v>137</v>
      </c>
      <c r="W1" s="103"/>
      <c r="X1" s="82"/>
      <c r="Y1" s="34"/>
      <c r="Z1" s="34"/>
      <c r="AA1" s="34"/>
      <c r="AB1" s="104"/>
      <c r="AC1" s="104"/>
      <c r="AD1" s="34"/>
    </row>
    <row r="2">
      <c r="A2" s="105"/>
      <c r="B2" s="106"/>
      <c r="C2" s="106"/>
      <c r="D2" s="106"/>
      <c r="E2" s="107"/>
      <c r="F2" s="105"/>
      <c r="G2" s="106"/>
      <c r="H2" s="106"/>
      <c r="I2" s="106"/>
      <c r="J2" s="106"/>
      <c r="K2" s="106"/>
      <c r="L2" s="108"/>
      <c r="M2" s="108"/>
      <c r="N2" s="109"/>
      <c r="O2" s="109"/>
      <c r="P2" s="110"/>
      <c r="Q2" s="109"/>
      <c r="R2" s="110"/>
      <c r="S2" s="105"/>
      <c r="T2" s="111"/>
      <c r="U2" s="111"/>
      <c r="V2" s="105"/>
      <c r="W2" s="103"/>
      <c r="X2" s="82"/>
      <c r="Y2" s="34"/>
      <c r="Z2" s="34"/>
      <c r="AA2" s="34"/>
      <c r="AB2" s="104"/>
      <c r="AC2" s="104"/>
      <c r="AD2" s="34"/>
    </row>
    <row r="3">
      <c r="A3" s="105"/>
      <c r="B3" s="106"/>
      <c r="C3" s="106"/>
      <c r="D3" s="106"/>
      <c r="E3" s="107"/>
      <c r="F3" s="105"/>
      <c r="G3" s="106"/>
      <c r="H3" s="106"/>
      <c r="I3" s="106"/>
      <c r="J3" s="106"/>
      <c r="K3" s="106"/>
      <c r="L3" s="108"/>
      <c r="M3" s="108"/>
      <c r="N3" s="109"/>
      <c r="O3" s="109"/>
      <c r="P3" s="110"/>
      <c r="Q3" s="109"/>
      <c r="R3" s="110"/>
      <c r="S3" s="105"/>
      <c r="T3" s="111"/>
      <c r="U3" s="111"/>
      <c r="V3" s="105"/>
      <c r="W3" s="103"/>
      <c r="X3" s="82"/>
      <c r="Y3" s="34"/>
      <c r="Z3" s="34"/>
      <c r="AA3" s="34"/>
      <c r="AB3" s="104"/>
      <c r="AC3" s="104"/>
      <c r="AD3" s="34"/>
    </row>
    <row r="4">
      <c r="A4" s="105"/>
      <c r="B4" s="106"/>
      <c r="C4" s="106"/>
      <c r="D4" s="106"/>
      <c r="E4" s="107"/>
      <c r="F4" s="105"/>
      <c r="G4" s="106"/>
      <c r="H4" s="106"/>
      <c r="I4" s="106"/>
      <c r="J4" s="106"/>
      <c r="K4" s="106"/>
      <c r="L4" s="108"/>
      <c r="M4" s="108"/>
      <c r="N4" s="109"/>
      <c r="O4" s="109"/>
      <c r="P4" s="110"/>
      <c r="Q4" s="109"/>
      <c r="R4" s="110"/>
      <c r="S4" s="105"/>
      <c r="T4" s="111"/>
      <c r="U4" s="111"/>
      <c r="V4" s="105"/>
      <c r="W4" s="103"/>
      <c r="X4" s="82"/>
      <c r="Y4" s="34"/>
      <c r="Z4" s="34"/>
      <c r="AA4" s="34"/>
      <c r="AB4" s="104"/>
      <c r="AC4" s="104"/>
      <c r="AD4" s="34"/>
    </row>
    <row r="5">
      <c r="A5" s="35"/>
      <c r="B5" s="35"/>
      <c r="C5" s="35"/>
      <c r="D5" s="35" t="s">
        <v>138</v>
      </c>
      <c r="E5" s="112"/>
      <c r="F5" s="35"/>
      <c r="G5" s="35"/>
      <c r="H5" s="113"/>
      <c r="I5" s="113"/>
      <c r="J5" s="113"/>
      <c r="K5" s="113"/>
      <c r="L5" s="114"/>
      <c r="M5" s="114"/>
      <c r="N5" s="115"/>
      <c r="O5" s="115"/>
      <c r="P5" s="116"/>
      <c r="Q5" s="115"/>
      <c r="R5" s="110"/>
      <c r="S5" s="117"/>
      <c r="T5" s="118"/>
      <c r="U5" s="111"/>
      <c r="V5" s="105"/>
      <c r="W5" s="103"/>
      <c r="X5" s="82"/>
      <c r="Y5" s="34"/>
      <c r="Z5" s="34"/>
      <c r="AA5" s="34"/>
      <c r="AB5" s="104"/>
      <c r="AC5" s="104"/>
      <c r="AD5" s="34"/>
    </row>
    <row r="6">
      <c r="A6" s="35" t="s">
        <v>139</v>
      </c>
      <c r="B6" s="35"/>
      <c r="C6" s="35"/>
      <c r="D6" s="35"/>
      <c r="E6" s="112"/>
      <c r="F6" s="35"/>
      <c r="G6" s="35"/>
      <c r="H6" s="113"/>
      <c r="I6" s="113"/>
      <c r="J6" s="113"/>
      <c r="K6" s="113"/>
      <c r="L6" s="114"/>
      <c r="M6" s="114"/>
      <c r="N6" s="115"/>
      <c r="O6" s="115"/>
      <c r="P6" s="116"/>
      <c r="Q6" s="115"/>
      <c r="R6" s="110"/>
      <c r="S6" s="117"/>
      <c r="T6" s="118"/>
      <c r="U6" s="111"/>
      <c r="V6" s="105"/>
      <c r="W6" s="103"/>
      <c r="X6" s="82"/>
      <c r="Y6" s="34"/>
      <c r="Z6" s="34"/>
      <c r="AA6" s="34"/>
      <c r="AB6" s="104"/>
      <c r="AC6" s="104"/>
      <c r="AD6" s="34"/>
    </row>
    <row r="7">
      <c r="A7" s="35" t="s">
        <v>140</v>
      </c>
      <c r="B7" s="35"/>
      <c r="C7" s="35"/>
      <c r="D7" s="35"/>
      <c r="E7" s="112"/>
      <c r="F7" s="35"/>
      <c r="G7" s="35"/>
      <c r="H7" s="113"/>
      <c r="I7" s="113"/>
      <c r="J7" s="113"/>
      <c r="K7" s="113"/>
      <c r="L7" s="114"/>
      <c r="M7" s="114"/>
      <c r="N7" s="115"/>
      <c r="O7" s="115"/>
      <c r="P7" s="116"/>
      <c r="Q7" s="115"/>
      <c r="R7" s="110"/>
      <c r="S7" s="117"/>
      <c r="T7" s="118"/>
      <c r="U7" s="111"/>
      <c r="V7" s="105"/>
      <c r="W7" s="103"/>
      <c r="X7" s="82"/>
      <c r="Y7" s="34"/>
      <c r="Z7" s="34"/>
      <c r="AA7" s="34"/>
      <c r="AB7" s="104"/>
      <c r="AC7" s="104"/>
      <c r="AD7" s="34"/>
    </row>
    <row r="8">
      <c r="A8" s="93" t="s">
        <v>41</v>
      </c>
      <c r="B8" s="94" t="s">
        <v>125</v>
      </c>
      <c r="C8" s="95"/>
      <c r="D8" s="96"/>
      <c r="E8" s="97" t="s">
        <v>124</v>
      </c>
      <c r="F8" s="93"/>
      <c r="G8" s="94" t="s">
        <v>131</v>
      </c>
      <c r="H8" s="95"/>
      <c r="I8" s="96"/>
      <c r="J8" s="98"/>
      <c r="K8" s="98"/>
      <c r="L8" s="99" t="s">
        <v>132</v>
      </c>
      <c r="M8" s="99"/>
      <c r="N8" s="100" t="s">
        <v>133</v>
      </c>
      <c r="O8" s="100" t="s">
        <v>141</v>
      </c>
      <c r="P8" s="101" t="s">
        <v>124</v>
      </c>
      <c r="Q8" s="100" t="s">
        <v>134</v>
      </c>
      <c r="R8" s="101" t="s">
        <v>124</v>
      </c>
      <c r="S8" s="93" t="s">
        <v>41</v>
      </c>
      <c r="T8" s="102" t="s">
        <v>135</v>
      </c>
      <c r="U8" s="102" t="s">
        <v>136</v>
      </c>
      <c r="V8" s="93" t="s">
        <v>137</v>
      </c>
      <c r="W8" s="103"/>
      <c r="X8" s="82"/>
      <c r="Y8" s="34"/>
      <c r="Z8" s="34"/>
      <c r="AA8" s="34"/>
      <c r="AB8" s="104"/>
      <c r="AC8" s="104"/>
      <c r="AD8" s="34"/>
    </row>
    <row r="9">
      <c r="A9" s="89" t="str">
        <f>DTM!A12</f>
        <v>cm1</v>
      </c>
      <c r="B9" s="119" t="str">
        <f t="shared" ref="B9:B10" si="1">TRUNC(F9,0)</f>
        <v>16</v>
      </c>
      <c r="C9" s="119" t="str">
        <f t="shared" ref="C9:C10" si="2">TRUNC((F9-B9)*60,0)</f>
        <v>27</v>
      </c>
      <c r="D9" s="119" t="str">
        <f t="shared" ref="D9:D10" si="3">ROUND((F9-B9-C9/60)*3600,0)</f>
        <v>19</v>
      </c>
      <c r="E9" s="120">
        <v>0.0</v>
      </c>
      <c r="F9" s="119" t="str">
        <f t="shared" ref="F9:F10" si="4">G9+H9/60+I9/3600-E9/3600</f>
        <v>16</v>
      </c>
      <c r="G9" s="119" t="str">
        <f>DTM!H13</f>
        <v>16</v>
      </c>
      <c r="H9" s="119" t="str">
        <f>DTM!I13</f>
        <v>27</v>
      </c>
      <c r="I9" s="119" t="str">
        <f>DTM!J13</f>
        <v>19</v>
      </c>
      <c r="J9" s="88"/>
      <c r="K9" s="88"/>
      <c r="L9" s="121"/>
      <c r="M9" s="121"/>
      <c r="N9" s="90"/>
      <c r="O9" s="90"/>
      <c r="P9" s="122"/>
      <c r="Q9" s="90"/>
      <c r="R9" s="122"/>
      <c r="S9" s="89" t="str">
        <f t="shared" ref="S9:S10" si="5">A9</f>
        <v>cm1</v>
      </c>
      <c r="T9" s="122"/>
      <c r="U9" s="122"/>
      <c r="V9" s="89" t="str">
        <f>DTM!D4</f>
        <v>I/s No.</v>
      </c>
      <c r="W9" s="103"/>
      <c r="X9" s="82"/>
      <c r="Y9" s="34"/>
      <c r="Z9" s="34"/>
      <c r="AA9" s="34"/>
      <c r="AB9" s="104"/>
      <c r="AC9" s="104"/>
      <c r="AD9" s="34"/>
    </row>
    <row r="10">
      <c r="A10" s="89" t="str">
        <f>DTM!A15</f>
        <v>DD/6126</v>
      </c>
      <c r="B10" s="119" t="str">
        <f t="shared" si="1"/>
        <v>53</v>
      </c>
      <c r="C10" s="119" t="str">
        <f t="shared" si="2"/>
        <v>44</v>
      </c>
      <c r="D10" s="119" t="str">
        <f t="shared" si="3"/>
        <v>49</v>
      </c>
      <c r="E10" s="120">
        <v>0.0</v>
      </c>
      <c r="F10" s="119" t="str">
        <f t="shared" si="4"/>
        <v>54</v>
      </c>
      <c r="G10" s="119" t="str">
        <f>DTM!H16</f>
        <v>53</v>
      </c>
      <c r="H10" s="119" t="str">
        <f>DTM!I16</f>
        <v>44</v>
      </c>
      <c r="I10" s="119" t="str">
        <f>DTM!J16</f>
        <v>49</v>
      </c>
      <c r="J10" s="88"/>
      <c r="K10" s="88"/>
      <c r="L10" s="121"/>
      <c r="M10" s="121"/>
      <c r="N10" s="90"/>
      <c r="O10" s="90"/>
      <c r="P10" s="122"/>
      <c r="Q10" s="90"/>
      <c r="R10" s="122"/>
      <c r="S10" s="89" t="str">
        <f t="shared" si="5"/>
        <v>DD/6126</v>
      </c>
      <c r="T10" s="122"/>
      <c r="U10" s="122"/>
      <c r="V10" s="89" t="str">
        <f>DTM!D5</f>
        <v>I/s No.</v>
      </c>
      <c r="X10" s="82"/>
      <c r="Y10" s="34"/>
      <c r="Z10" s="34"/>
      <c r="AA10" s="34"/>
      <c r="AB10" s="104"/>
      <c r="AC10" s="104"/>
      <c r="AD10" s="34"/>
    </row>
    <row r="11">
      <c r="A11" s="89" t="str">
        <f t="shared" ref="A11:A78" si="6">S11</f>
        <v>DD/6124</v>
      </c>
      <c r="B11" s="123"/>
      <c r="C11" s="123"/>
      <c r="D11" s="123"/>
      <c r="E11" s="120" t="str">
        <f>AVERAGE(E9:E10)</f>
        <v>0</v>
      </c>
      <c r="F11" s="80"/>
      <c r="G11" s="123"/>
      <c r="H11" s="123"/>
      <c r="I11" s="123"/>
      <c r="J11" s="124"/>
      <c r="K11" s="124"/>
      <c r="L11" s="125"/>
      <c r="M11" s="125"/>
      <c r="N11" s="126"/>
      <c r="O11" s="126" t="s">
        <v>142</v>
      </c>
      <c r="P11" s="127"/>
      <c r="Q11" s="126"/>
      <c r="R11" s="127"/>
      <c r="S11" s="89" t="str">
        <f>DTM!A13</f>
        <v>DD/6124</v>
      </c>
      <c r="T11" s="122" t="str">
        <f>DTM!B13</f>
        <v>46098.370</v>
      </c>
      <c r="U11" s="122" t="str">
        <f>DTM!C13</f>
        <v>210744.470</v>
      </c>
      <c r="V11" s="89" t="str">
        <f>DTM!D6</f>
        <v>I/s No.</v>
      </c>
      <c r="W11" s="103"/>
      <c r="X11" s="128"/>
      <c r="Y11" s="129"/>
      <c r="Z11" s="129"/>
      <c r="AA11" s="129"/>
      <c r="AB11" s="130"/>
      <c r="AC11" s="130"/>
      <c r="AD11" s="129"/>
    </row>
    <row r="12">
      <c r="A12" s="87" t="str">
        <f t="shared" si="6"/>
        <v>CM1</v>
      </c>
      <c r="B12" s="88" t="str">
        <f t="shared" ref="B12:B81" si="7">TRUNC(F12,0)</f>
        <v>134</v>
      </c>
      <c r="C12" s="88" t="str">
        <f t="shared" ref="C12:C81" si="8">TRUNC((F12-B12)*60,0)</f>
        <v>37</v>
      </c>
      <c r="D12" s="88" t="str">
        <f t="shared" ref="D12:D81" si="9">ROUND((F12-B12-C12/60)*3600,0)</f>
        <v>60</v>
      </c>
      <c r="E12" s="120" t="str">
        <f>E84</f>
        <v>1</v>
      </c>
      <c r="F12" s="88" t="str">
        <f t="shared" ref="F12:F81" si="10">G12+H12/60+I12/3600-E12/3600</f>
        <v>135</v>
      </c>
      <c r="G12" s="88" t="str">
        <f t="shared" ref="G12:G79" si="11">TRUNC(J12,0)</f>
        <v>134</v>
      </c>
      <c r="H12" s="88" t="str">
        <f t="shared" ref="H12:H79" si="12">TRUNC((J12-G12)*60,0)</f>
        <v>38</v>
      </c>
      <c r="I12" s="88" t="str">
        <f t="shared" ref="I12:I79" si="13">ROUND(((J12-G12)-H12/60)*3600,0)</f>
        <v>1</v>
      </c>
      <c r="J12" s="88" t="str">
        <f t="shared" ref="J12:J79" si="14">IF(K12&lt;0,K12+360,K12)</f>
        <v>135</v>
      </c>
      <c r="K12" s="88" t="str">
        <f t="shared" ref="K12:K79" si="15">ATAN2(N12,Q12)/PI()*180</f>
        <v>135</v>
      </c>
      <c r="L12" s="122" t="str">
        <f t="shared" ref="L12:L79" si="16">ROUND((SQRT(N12^2+Q12^2)),5)</f>
        <v>288.119</v>
      </c>
      <c r="M12" s="122" t="str">
        <f t="shared" ref="M12:M79" si="17">SQRT((T12-T11)^2+(U12-U11)^2)</f>
        <v>288.123</v>
      </c>
      <c r="N12" s="90" t="str">
        <f t="shared" ref="N12:N79" si="18">T12-T11-P12</f>
        <v>-202.424</v>
      </c>
      <c r="O12" s="131">
        <v>288.12157</v>
      </c>
      <c r="P12" s="122" t="str">
        <f t="shared" ref="P12:P79" si="19">ROUND(($T$82*$O12/$O$80),3)</f>
        <v>0.008</v>
      </c>
      <c r="Q12" s="90" t="str">
        <f t="shared" ref="Q12:Q79" si="20">U12-U11-R12</f>
        <v>205.030</v>
      </c>
      <c r="R12" s="122" t="str">
        <f t="shared" ref="R12:R79" si="21">ROUND(($U$82*$O12/$O$80),3)</f>
        <v>0.013</v>
      </c>
      <c r="S12" s="87" t="s">
        <v>44</v>
      </c>
      <c r="T12" s="90">
        <v>45895.954</v>
      </c>
      <c r="U12" s="90">
        <v>210949.513</v>
      </c>
      <c r="V12" s="87"/>
      <c r="W12" s="132"/>
      <c r="X12" s="82"/>
      <c r="Y12" s="34"/>
      <c r="Z12" s="34"/>
      <c r="AA12" s="34"/>
      <c r="AB12" s="104"/>
      <c r="AC12" s="104"/>
      <c r="AD12" s="34"/>
    </row>
    <row r="13">
      <c r="A13" s="87" t="str">
        <f t="shared" si="6"/>
        <v>CM2</v>
      </c>
      <c r="B13" s="88" t="str">
        <f t="shared" si="7"/>
        <v>232</v>
      </c>
      <c r="C13" s="88" t="str">
        <f t="shared" si="8"/>
        <v>58</v>
      </c>
      <c r="D13" s="88" t="str">
        <f t="shared" si="9"/>
        <v>16</v>
      </c>
      <c r="E13" s="120" t="str">
        <f t="shared" ref="E13:E79" si="22">E12+E$84</f>
        <v>2</v>
      </c>
      <c r="F13" s="88" t="str">
        <f t="shared" si="10"/>
        <v>233</v>
      </c>
      <c r="G13" s="88" t="str">
        <f t="shared" si="11"/>
        <v>232</v>
      </c>
      <c r="H13" s="88" t="str">
        <f t="shared" si="12"/>
        <v>58</v>
      </c>
      <c r="I13" s="88" t="str">
        <f t="shared" si="13"/>
        <v>18</v>
      </c>
      <c r="J13" s="88" t="str">
        <f t="shared" si="14"/>
        <v>233</v>
      </c>
      <c r="K13" s="88" t="str">
        <f t="shared" si="15"/>
        <v>-127</v>
      </c>
      <c r="L13" s="122" t="str">
        <f t="shared" si="16"/>
        <v>30.450</v>
      </c>
      <c r="M13" s="122" t="str">
        <f t="shared" si="17"/>
        <v>30.448</v>
      </c>
      <c r="N13" s="90" t="str">
        <f t="shared" si="18"/>
        <v>-18.337</v>
      </c>
      <c r="O13" s="131">
        <v>30.45531</v>
      </c>
      <c r="P13" s="122" t="str">
        <f t="shared" si="19"/>
        <v>0.001</v>
      </c>
      <c r="Q13" s="90" t="str">
        <f t="shared" si="20"/>
        <v>-24.309</v>
      </c>
      <c r="R13" s="122" t="str">
        <f t="shared" si="21"/>
        <v>0.001</v>
      </c>
      <c r="S13" s="87" t="s">
        <v>45</v>
      </c>
      <c r="T13" s="90">
        <v>45877.617999999995</v>
      </c>
      <c r="U13" s="90">
        <v>210925.20500000002</v>
      </c>
      <c r="V13" s="87"/>
      <c r="W13" s="103"/>
      <c r="X13" s="82"/>
      <c r="Y13" s="34"/>
      <c r="Z13" s="34"/>
      <c r="AA13" s="34"/>
      <c r="AB13" s="104"/>
      <c r="AC13" s="104"/>
      <c r="AD13" s="34"/>
    </row>
    <row r="14">
      <c r="A14" s="87" t="str">
        <f t="shared" si="6"/>
        <v>CM3</v>
      </c>
      <c r="B14" s="88" t="str">
        <f t="shared" si="7"/>
        <v>215</v>
      </c>
      <c r="C14" s="88" t="str">
        <f t="shared" si="8"/>
        <v>42</v>
      </c>
      <c r="D14" s="88" t="str">
        <f t="shared" si="9"/>
        <v>55</v>
      </c>
      <c r="E14" s="120" t="str">
        <f t="shared" si="22"/>
        <v>3</v>
      </c>
      <c r="F14" s="88" t="str">
        <f t="shared" si="10"/>
        <v>216</v>
      </c>
      <c r="G14" s="88" t="str">
        <f t="shared" si="11"/>
        <v>215</v>
      </c>
      <c r="H14" s="88" t="str">
        <f t="shared" si="12"/>
        <v>42</v>
      </c>
      <c r="I14" s="88" t="str">
        <f t="shared" si="13"/>
        <v>58</v>
      </c>
      <c r="J14" s="88" t="str">
        <f t="shared" si="14"/>
        <v>216</v>
      </c>
      <c r="K14" s="88" t="str">
        <f t="shared" si="15"/>
        <v>-144</v>
      </c>
      <c r="L14" s="122" t="str">
        <f t="shared" si="16"/>
        <v>8.731</v>
      </c>
      <c r="M14" s="122" t="str">
        <f t="shared" si="17"/>
        <v>8.731</v>
      </c>
      <c r="N14" s="90" t="str">
        <f t="shared" si="18"/>
        <v>-7.089</v>
      </c>
      <c r="O14" s="131">
        <v>8.73396</v>
      </c>
      <c r="P14" s="122" t="str">
        <f t="shared" si="19"/>
        <v>0.000</v>
      </c>
      <c r="Q14" s="90" t="str">
        <f t="shared" si="20"/>
        <v>-5.097</v>
      </c>
      <c r="R14" s="122" t="str">
        <f t="shared" si="21"/>
        <v>0.000</v>
      </c>
      <c r="S14" s="87" t="s">
        <v>46</v>
      </c>
      <c r="T14" s="90">
        <v>45870.528999999995</v>
      </c>
      <c r="U14" s="90">
        <v>210920.108</v>
      </c>
      <c r="V14" s="87"/>
      <c r="W14" s="132"/>
      <c r="X14" s="82"/>
      <c r="Y14" s="34"/>
      <c r="Z14" s="34"/>
      <c r="AA14" s="34"/>
      <c r="AB14" s="104"/>
      <c r="AC14" s="104"/>
      <c r="AD14" s="34"/>
    </row>
    <row r="15">
      <c r="A15" s="87" t="str">
        <f t="shared" si="6"/>
        <v>CM4</v>
      </c>
      <c r="B15" s="88" t="str">
        <f t="shared" si="7"/>
        <v>144</v>
      </c>
      <c r="C15" s="88" t="str">
        <f t="shared" si="8"/>
        <v>20</v>
      </c>
      <c r="D15" s="88" t="str">
        <f t="shared" si="9"/>
        <v>10</v>
      </c>
      <c r="E15" s="120" t="str">
        <f t="shared" si="22"/>
        <v>4</v>
      </c>
      <c r="F15" s="88" t="str">
        <f t="shared" si="10"/>
        <v>144</v>
      </c>
      <c r="G15" s="88" t="str">
        <f t="shared" si="11"/>
        <v>144</v>
      </c>
      <c r="H15" s="88" t="str">
        <f t="shared" si="12"/>
        <v>20</v>
      </c>
      <c r="I15" s="88" t="str">
        <f t="shared" si="13"/>
        <v>14</v>
      </c>
      <c r="J15" s="88" t="str">
        <f t="shared" si="14"/>
        <v>144</v>
      </c>
      <c r="K15" s="88" t="str">
        <f t="shared" si="15"/>
        <v>144</v>
      </c>
      <c r="L15" s="122" t="str">
        <f t="shared" si="16"/>
        <v>46.551</v>
      </c>
      <c r="M15" s="122" t="str">
        <f t="shared" si="17"/>
        <v>46.551</v>
      </c>
      <c r="N15" s="90" t="str">
        <f t="shared" si="18"/>
        <v>-37.821</v>
      </c>
      <c r="O15" s="131">
        <v>46.55123</v>
      </c>
      <c r="P15" s="122" t="str">
        <f t="shared" si="19"/>
        <v>0.001</v>
      </c>
      <c r="Q15" s="90" t="str">
        <f t="shared" si="20"/>
        <v>27.140</v>
      </c>
      <c r="R15" s="122" t="str">
        <f t="shared" si="21"/>
        <v>0.002</v>
      </c>
      <c r="S15" s="87" t="s">
        <v>47</v>
      </c>
      <c r="T15" s="90">
        <v>45832.708999999995</v>
      </c>
      <c r="U15" s="90">
        <v>210947.25</v>
      </c>
      <c r="V15" s="87"/>
      <c r="W15" s="103"/>
      <c r="X15" s="82"/>
      <c r="Y15" s="34"/>
      <c r="Z15" s="34"/>
      <c r="AA15" s="34"/>
      <c r="AB15" s="104"/>
      <c r="AC15" s="104"/>
      <c r="AD15" s="34"/>
    </row>
    <row r="16">
      <c r="A16" s="87" t="str">
        <f t="shared" si="6"/>
        <v>CM5</v>
      </c>
      <c r="B16" s="88" t="str">
        <f t="shared" si="7"/>
        <v>139</v>
      </c>
      <c r="C16" s="88" t="str">
        <f t="shared" si="8"/>
        <v>18</v>
      </c>
      <c r="D16" s="88" t="str">
        <f t="shared" si="9"/>
        <v>6</v>
      </c>
      <c r="E16" s="120" t="str">
        <f t="shared" si="22"/>
        <v>6</v>
      </c>
      <c r="F16" s="88" t="str">
        <f t="shared" si="10"/>
        <v>139</v>
      </c>
      <c r="G16" s="88" t="str">
        <f t="shared" si="11"/>
        <v>139</v>
      </c>
      <c r="H16" s="88" t="str">
        <f t="shared" si="12"/>
        <v>18</v>
      </c>
      <c r="I16" s="88" t="str">
        <f t="shared" si="13"/>
        <v>12</v>
      </c>
      <c r="J16" s="88" t="str">
        <f t="shared" si="14"/>
        <v>139</v>
      </c>
      <c r="K16" s="88" t="str">
        <f t="shared" si="15"/>
        <v>139</v>
      </c>
      <c r="L16" s="122" t="str">
        <f t="shared" si="16"/>
        <v>10.093</v>
      </c>
      <c r="M16" s="122" t="str">
        <f t="shared" si="17"/>
        <v>10.093</v>
      </c>
      <c r="N16" s="90" t="str">
        <f t="shared" si="18"/>
        <v>-7.652</v>
      </c>
      <c r="O16" s="131">
        <v>10.09139</v>
      </c>
      <c r="P16" s="122" t="str">
        <f t="shared" si="19"/>
        <v>0.000</v>
      </c>
      <c r="Q16" s="90" t="str">
        <f t="shared" si="20"/>
        <v>6.581</v>
      </c>
      <c r="R16" s="122" t="str">
        <f t="shared" si="21"/>
        <v>0.000</v>
      </c>
      <c r="S16" s="87" t="s">
        <v>48</v>
      </c>
      <c r="T16" s="90">
        <v>45825.057</v>
      </c>
      <c r="U16" s="90">
        <v>210953.831</v>
      </c>
      <c r="V16" s="87"/>
      <c r="W16" s="103"/>
      <c r="X16" s="82"/>
      <c r="Y16" s="34"/>
      <c r="Z16" s="34"/>
      <c r="AA16" s="34"/>
      <c r="AB16" s="104"/>
      <c r="AC16" s="104"/>
      <c r="AD16" s="34"/>
    </row>
    <row r="17">
      <c r="A17" s="87" t="str">
        <f t="shared" si="6"/>
        <v>CM6</v>
      </c>
      <c r="B17" s="88" t="str">
        <f t="shared" si="7"/>
        <v>229</v>
      </c>
      <c r="C17" s="88" t="str">
        <f t="shared" si="8"/>
        <v>58</v>
      </c>
      <c r="D17" s="88" t="str">
        <f t="shared" si="9"/>
        <v>29</v>
      </c>
      <c r="E17" s="120" t="str">
        <f t="shared" si="22"/>
        <v>7</v>
      </c>
      <c r="F17" s="88" t="str">
        <f t="shared" si="10"/>
        <v>230</v>
      </c>
      <c r="G17" s="88" t="str">
        <f t="shared" si="11"/>
        <v>229</v>
      </c>
      <c r="H17" s="88" t="str">
        <f t="shared" si="12"/>
        <v>58</v>
      </c>
      <c r="I17" s="88" t="str">
        <f t="shared" si="13"/>
        <v>36</v>
      </c>
      <c r="J17" s="88" t="str">
        <f t="shared" si="14"/>
        <v>230</v>
      </c>
      <c r="K17" s="88" t="str">
        <f t="shared" si="15"/>
        <v>-130</v>
      </c>
      <c r="L17" s="122" t="str">
        <f t="shared" si="16"/>
        <v>14.761</v>
      </c>
      <c r="M17" s="122" t="str">
        <f t="shared" si="17"/>
        <v>14.761</v>
      </c>
      <c r="N17" s="90" t="str">
        <f t="shared" si="18"/>
        <v>-9.493</v>
      </c>
      <c r="O17" s="131">
        <v>14.76058</v>
      </c>
      <c r="P17" s="122" t="str">
        <f t="shared" si="19"/>
        <v>0.000</v>
      </c>
      <c r="Q17" s="90" t="str">
        <f t="shared" si="20"/>
        <v>-11.304</v>
      </c>
      <c r="R17" s="122" t="str">
        <f t="shared" si="21"/>
        <v>0.001</v>
      </c>
      <c r="S17" s="87" t="s">
        <v>49</v>
      </c>
      <c r="T17" s="90">
        <v>45815.564</v>
      </c>
      <c r="U17" s="90">
        <v>210942.528</v>
      </c>
      <c r="V17" s="87"/>
      <c r="W17" s="132"/>
      <c r="X17" s="82"/>
      <c r="Y17" s="34"/>
      <c r="Z17" s="34"/>
      <c r="AA17" s="34"/>
      <c r="AB17" s="104"/>
      <c r="AC17" s="104"/>
      <c r="AD17" s="34"/>
    </row>
    <row r="18">
      <c r="A18" s="87" t="str">
        <f t="shared" si="6"/>
        <v>CM7</v>
      </c>
      <c r="B18" s="88" t="str">
        <f t="shared" si="7"/>
        <v>207</v>
      </c>
      <c r="C18" s="88" t="str">
        <f t="shared" si="8"/>
        <v>16</v>
      </c>
      <c r="D18" s="88" t="str">
        <f t="shared" si="9"/>
        <v>40</v>
      </c>
      <c r="E18" s="120" t="str">
        <f t="shared" si="22"/>
        <v>8</v>
      </c>
      <c r="F18" s="88" t="str">
        <f t="shared" si="10"/>
        <v>207</v>
      </c>
      <c r="G18" s="88" t="str">
        <f t="shared" si="11"/>
        <v>207</v>
      </c>
      <c r="H18" s="88" t="str">
        <f t="shared" si="12"/>
        <v>16</v>
      </c>
      <c r="I18" s="88" t="str">
        <f t="shared" si="13"/>
        <v>48</v>
      </c>
      <c r="J18" s="88" t="str">
        <f t="shared" si="14"/>
        <v>207</v>
      </c>
      <c r="K18" s="88" t="str">
        <f t="shared" si="15"/>
        <v>-153</v>
      </c>
      <c r="L18" s="122" t="str">
        <f t="shared" si="16"/>
        <v>18.637</v>
      </c>
      <c r="M18" s="122" t="str">
        <f t="shared" si="17"/>
        <v>18.635</v>
      </c>
      <c r="N18" s="90" t="str">
        <f t="shared" si="18"/>
        <v>-16.564</v>
      </c>
      <c r="O18" s="131">
        <v>18.63549</v>
      </c>
      <c r="P18" s="122" t="str">
        <f t="shared" si="19"/>
        <v>0.001</v>
      </c>
      <c r="Q18" s="90" t="str">
        <f t="shared" si="20"/>
        <v>-8.542</v>
      </c>
      <c r="R18" s="122" t="str">
        <f t="shared" si="21"/>
        <v>0.001</v>
      </c>
      <c r="S18" s="87" t="s">
        <v>50</v>
      </c>
      <c r="T18" s="90">
        <v>45799.001</v>
      </c>
      <c r="U18" s="90">
        <v>210933.987</v>
      </c>
      <c r="V18" s="87"/>
      <c r="W18" s="103"/>
      <c r="X18" s="82"/>
      <c r="Y18" s="34"/>
      <c r="Z18" s="34"/>
      <c r="AA18" s="34"/>
      <c r="AB18" s="104"/>
      <c r="AC18" s="104"/>
      <c r="AD18" s="34"/>
    </row>
    <row r="19">
      <c r="A19" s="87" t="str">
        <f t="shared" si="6"/>
        <v>CL1</v>
      </c>
      <c r="B19" s="88" t="str">
        <f t="shared" si="7"/>
        <v>223</v>
      </c>
      <c r="C19" s="88" t="str">
        <f t="shared" si="8"/>
        <v>3</v>
      </c>
      <c r="D19" s="88" t="str">
        <f t="shared" si="9"/>
        <v>31</v>
      </c>
      <c r="E19" s="120" t="str">
        <f t="shared" si="22"/>
        <v>9</v>
      </c>
      <c r="F19" s="88" t="str">
        <f t="shared" si="10"/>
        <v>223</v>
      </c>
      <c r="G19" s="88" t="str">
        <f t="shared" si="11"/>
        <v>223</v>
      </c>
      <c r="H19" s="88" t="str">
        <f t="shared" si="12"/>
        <v>3</v>
      </c>
      <c r="I19" s="88" t="str">
        <f t="shared" si="13"/>
        <v>40</v>
      </c>
      <c r="J19" s="88" t="str">
        <f t="shared" si="14"/>
        <v>223</v>
      </c>
      <c r="K19" s="88" t="str">
        <f t="shared" si="15"/>
        <v>-137</v>
      </c>
      <c r="L19" s="122" t="str">
        <f t="shared" si="16"/>
        <v>18.120</v>
      </c>
      <c r="M19" s="122" t="str">
        <f t="shared" si="17"/>
        <v>18.119</v>
      </c>
      <c r="N19" s="90" t="str">
        <f t="shared" si="18"/>
        <v>-13.239</v>
      </c>
      <c r="O19" s="131">
        <v>18.12218</v>
      </c>
      <c r="P19" s="122" t="str">
        <f t="shared" si="19"/>
        <v>0.001</v>
      </c>
      <c r="Q19" s="90" t="str">
        <f t="shared" si="20"/>
        <v>-12.372</v>
      </c>
      <c r="R19" s="122" t="str">
        <f t="shared" si="21"/>
        <v>0.001</v>
      </c>
      <c r="S19" s="87" t="s">
        <v>51</v>
      </c>
      <c r="T19" s="90">
        <v>45785.763</v>
      </c>
      <c r="U19" s="90">
        <v>210921.616</v>
      </c>
      <c r="V19" s="87"/>
      <c r="W19" s="132"/>
      <c r="X19" s="82"/>
      <c r="Y19" s="34"/>
      <c r="Z19" s="34"/>
      <c r="AA19" s="34"/>
      <c r="AB19" s="104"/>
      <c r="AC19" s="104"/>
      <c r="AD19" s="34"/>
    </row>
    <row r="20">
      <c r="A20" s="87" t="str">
        <f t="shared" si="6"/>
        <v>CM8</v>
      </c>
      <c r="B20" s="88" t="str">
        <f t="shared" si="7"/>
        <v>56</v>
      </c>
      <c r="C20" s="88" t="str">
        <f t="shared" si="8"/>
        <v>50</v>
      </c>
      <c r="D20" s="88" t="str">
        <f t="shared" si="9"/>
        <v>51</v>
      </c>
      <c r="E20" s="120" t="str">
        <f t="shared" si="22"/>
        <v>10</v>
      </c>
      <c r="F20" s="88" t="str">
        <f t="shared" si="10"/>
        <v>57</v>
      </c>
      <c r="G20" s="88" t="str">
        <f t="shared" si="11"/>
        <v>56</v>
      </c>
      <c r="H20" s="88" t="str">
        <f t="shared" si="12"/>
        <v>51</v>
      </c>
      <c r="I20" s="88" t="str">
        <f t="shared" si="13"/>
        <v>1</v>
      </c>
      <c r="J20" s="88" t="str">
        <f t="shared" si="14"/>
        <v>57</v>
      </c>
      <c r="K20" s="88" t="str">
        <f t="shared" si="15"/>
        <v>57</v>
      </c>
      <c r="L20" s="122" t="str">
        <f t="shared" si="16"/>
        <v>8.440</v>
      </c>
      <c r="M20" s="122" t="str">
        <f t="shared" si="17"/>
        <v>8.440</v>
      </c>
      <c r="N20" s="90" t="str">
        <f t="shared" si="18"/>
        <v>4.615</v>
      </c>
      <c r="O20" s="131">
        <v>8.43598</v>
      </c>
      <c r="P20" s="122" t="str">
        <f t="shared" si="19"/>
        <v>0.000</v>
      </c>
      <c r="Q20" s="90" t="str">
        <f t="shared" si="20"/>
        <v>7.066</v>
      </c>
      <c r="R20" s="122" t="str">
        <f t="shared" si="21"/>
        <v>0.000</v>
      </c>
      <c r="S20" s="87" t="s">
        <v>52</v>
      </c>
      <c r="T20" s="90">
        <v>45790.378</v>
      </c>
      <c r="U20" s="90">
        <v>210928.682</v>
      </c>
      <c r="V20" s="87"/>
      <c r="W20" s="103"/>
      <c r="X20" s="82"/>
      <c r="Y20" s="34"/>
      <c r="Z20" s="34"/>
      <c r="AA20" s="34"/>
      <c r="AB20" s="104"/>
      <c r="AC20" s="104"/>
      <c r="AD20" s="34"/>
    </row>
    <row r="21" ht="15.75" customHeight="1">
      <c r="A21" s="87" t="str">
        <f t="shared" si="6"/>
        <v>CM9</v>
      </c>
      <c r="B21" s="88" t="str">
        <f t="shared" si="7"/>
        <v>308</v>
      </c>
      <c r="C21" s="88" t="str">
        <f t="shared" si="8"/>
        <v>44</v>
      </c>
      <c r="D21" s="88" t="str">
        <f t="shared" si="9"/>
        <v>25</v>
      </c>
      <c r="E21" s="120" t="str">
        <f t="shared" si="22"/>
        <v>11</v>
      </c>
      <c r="F21" s="88" t="str">
        <f t="shared" si="10"/>
        <v>309</v>
      </c>
      <c r="G21" s="88" t="str">
        <f t="shared" si="11"/>
        <v>308</v>
      </c>
      <c r="H21" s="88" t="str">
        <f t="shared" si="12"/>
        <v>44</v>
      </c>
      <c r="I21" s="88" t="str">
        <f t="shared" si="13"/>
        <v>36</v>
      </c>
      <c r="J21" s="88" t="str">
        <f t="shared" si="14"/>
        <v>309</v>
      </c>
      <c r="K21" s="88" t="str">
        <f t="shared" si="15"/>
        <v>-51</v>
      </c>
      <c r="L21" s="122" t="str">
        <f t="shared" si="16"/>
        <v>23.533</v>
      </c>
      <c r="M21" s="122" t="str">
        <f t="shared" si="17"/>
        <v>23.533</v>
      </c>
      <c r="N21" s="90" t="str">
        <f t="shared" si="18"/>
        <v>14.728</v>
      </c>
      <c r="O21" s="131">
        <v>23.53509</v>
      </c>
      <c r="P21" s="122" t="str">
        <f t="shared" si="19"/>
        <v>0.001</v>
      </c>
      <c r="Q21" s="90" t="str">
        <f t="shared" si="20"/>
        <v>-18.355</v>
      </c>
      <c r="R21" s="122" t="str">
        <f t="shared" si="21"/>
        <v>0.001</v>
      </c>
      <c r="S21" s="87" t="s">
        <v>53</v>
      </c>
      <c r="T21" s="90">
        <v>45805.106999999996</v>
      </c>
      <c r="U21" s="90">
        <v>210910.328</v>
      </c>
      <c r="V21" s="87"/>
      <c r="W21" s="103"/>
      <c r="X21" s="82"/>
      <c r="Y21" s="34"/>
      <c r="Z21" s="34"/>
      <c r="AA21" s="34"/>
      <c r="AB21" s="104"/>
      <c r="AC21" s="104"/>
      <c r="AD21" s="34"/>
    </row>
    <row r="22" ht="15.75" customHeight="1">
      <c r="A22" s="87" t="str">
        <f t="shared" si="6"/>
        <v>CM10</v>
      </c>
      <c r="B22" s="88" t="str">
        <f t="shared" si="7"/>
        <v>223</v>
      </c>
      <c r="C22" s="88" t="str">
        <f t="shared" si="8"/>
        <v>37</v>
      </c>
      <c r="D22" s="88" t="str">
        <f t="shared" si="9"/>
        <v>32</v>
      </c>
      <c r="E22" s="120" t="str">
        <f t="shared" si="22"/>
        <v>12</v>
      </c>
      <c r="F22" s="88" t="str">
        <f t="shared" si="10"/>
        <v>224</v>
      </c>
      <c r="G22" s="88" t="str">
        <f t="shared" si="11"/>
        <v>223</v>
      </c>
      <c r="H22" s="88" t="str">
        <f t="shared" si="12"/>
        <v>37</v>
      </c>
      <c r="I22" s="88" t="str">
        <f t="shared" si="13"/>
        <v>44</v>
      </c>
      <c r="J22" s="88" t="str">
        <f t="shared" si="14"/>
        <v>224</v>
      </c>
      <c r="K22" s="88" t="str">
        <f t="shared" si="15"/>
        <v>-136</v>
      </c>
      <c r="L22" s="122" t="str">
        <f t="shared" si="16"/>
        <v>15.218</v>
      </c>
      <c r="M22" s="122" t="str">
        <f t="shared" si="17"/>
        <v>15.217</v>
      </c>
      <c r="N22" s="90" t="str">
        <f t="shared" si="18"/>
        <v>-11.015</v>
      </c>
      <c r="O22" s="131">
        <v>15.222</v>
      </c>
      <c r="P22" s="122" t="str">
        <f t="shared" si="19"/>
        <v>0.000</v>
      </c>
      <c r="Q22" s="90" t="str">
        <f t="shared" si="20"/>
        <v>-10.500</v>
      </c>
      <c r="R22" s="122" t="str">
        <f t="shared" si="21"/>
        <v>0.001</v>
      </c>
      <c r="S22" s="87" t="s">
        <v>54</v>
      </c>
      <c r="T22" s="90">
        <v>45794.092</v>
      </c>
      <c r="U22" s="90">
        <v>210899.829</v>
      </c>
      <c r="V22" s="87"/>
      <c r="W22" s="132"/>
      <c r="X22" s="82"/>
      <c r="Y22" s="34"/>
      <c r="Z22" s="34"/>
      <c r="AA22" s="34"/>
      <c r="AB22" s="104"/>
      <c r="AC22" s="104"/>
      <c r="AD22" s="34"/>
    </row>
    <row r="23" ht="15.75" customHeight="1">
      <c r="A23" s="87" t="str">
        <f t="shared" si="6"/>
        <v>CM11</v>
      </c>
      <c r="B23" s="88" t="str">
        <f t="shared" si="7"/>
        <v>245</v>
      </c>
      <c r="C23" s="88" t="str">
        <f t="shared" si="8"/>
        <v>38</v>
      </c>
      <c r="D23" s="88" t="str">
        <f t="shared" si="9"/>
        <v>60</v>
      </c>
      <c r="E23" s="120" t="str">
        <f t="shared" si="22"/>
        <v>13</v>
      </c>
      <c r="F23" s="88" t="str">
        <f t="shared" si="10"/>
        <v>246</v>
      </c>
      <c r="G23" s="88" t="str">
        <f t="shared" si="11"/>
        <v>245</v>
      </c>
      <c r="H23" s="88" t="str">
        <f t="shared" si="12"/>
        <v>39</v>
      </c>
      <c r="I23" s="88" t="str">
        <f t="shared" si="13"/>
        <v>13</v>
      </c>
      <c r="J23" s="88" t="str">
        <f t="shared" si="14"/>
        <v>246</v>
      </c>
      <c r="K23" s="88" t="str">
        <f t="shared" si="15"/>
        <v>-114</v>
      </c>
      <c r="L23" s="122" t="str">
        <f t="shared" si="16"/>
        <v>13.909</v>
      </c>
      <c r="M23" s="122" t="str">
        <f t="shared" si="17"/>
        <v>13.908</v>
      </c>
      <c r="N23" s="90" t="str">
        <f t="shared" si="18"/>
        <v>-5.734</v>
      </c>
      <c r="O23" s="131">
        <v>13.91067</v>
      </c>
      <c r="P23" s="122" t="str">
        <f t="shared" si="19"/>
        <v>0.000</v>
      </c>
      <c r="Q23" s="90" t="str">
        <f t="shared" si="20"/>
        <v>-12.672</v>
      </c>
      <c r="R23" s="122" t="str">
        <f t="shared" si="21"/>
        <v>0.001</v>
      </c>
      <c r="S23" s="87" t="s">
        <v>55</v>
      </c>
      <c r="T23" s="90">
        <v>45788.358</v>
      </c>
      <c r="U23" s="90">
        <v>210887.158</v>
      </c>
      <c r="V23" s="87"/>
      <c r="W23" s="103"/>
      <c r="X23" s="82"/>
      <c r="Y23" s="34"/>
      <c r="Z23" s="34"/>
      <c r="AA23" s="34"/>
      <c r="AB23" s="104"/>
      <c r="AC23" s="104"/>
      <c r="AD23" s="34"/>
    </row>
    <row r="24" ht="15.75" customHeight="1">
      <c r="A24" s="87" t="str">
        <f t="shared" si="6"/>
        <v>CM12</v>
      </c>
      <c r="B24" s="88" t="str">
        <f t="shared" si="7"/>
        <v>247</v>
      </c>
      <c r="C24" s="88" t="str">
        <f t="shared" si="8"/>
        <v>48</v>
      </c>
      <c r="D24" s="88" t="str">
        <f t="shared" si="9"/>
        <v>56</v>
      </c>
      <c r="E24" s="120" t="str">
        <f t="shared" si="22"/>
        <v>14</v>
      </c>
      <c r="F24" s="88" t="str">
        <f t="shared" si="10"/>
        <v>248</v>
      </c>
      <c r="G24" s="88" t="str">
        <f t="shared" si="11"/>
        <v>247</v>
      </c>
      <c r="H24" s="88" t="str">
        <f t="shared" si="12"/>
        <v>49</v>
      </c>
      <c r="I24" s="88" t="str">
        <f t="shared" si="13"/>
        <v>10</v>
      </c>
      <c r="J24" s="88" t="str">
        <f t="shared" si="14"/>
        <v>248</v>
      </c>
      <c r="K24" s="88" t="str">
        <f t="shared" si="15"/>
        <v>-112</v>
      </c>
      <c r="L24" s="122" t="str">
        <f t="shared" si="16"/>
        <v>37.340</v>
      </c>
      <c r="M24" s="122" t="str">
        <f t="shared" si="17"/>
        <v>37.338</v>
      </c>
      <c r="N24" s="90" t="str">
        <f t="shared" si="18"/>
        <v>-14.097</v>
      </c>
      <c r="O24" s="131">
        <v>37.34155</v>
      </c>
      <c r="P24" s="122" t="str">
        <f t="shared" si="19"/>
        <v>0.001</v>
      </c>
      <c r="Q24" s="90" t="str">
        <f t="shared" si="20"/>
        <v>-34.577</v>
      </c>
      <c r="R24" s="122" t="str">
        <f t="shared" si="21"/>
        <v>0.002</v>
      </c>
      <c r="S24" s="87" t="s">
        <v>56</v>
      </c>
      <c r="T24" s="90">
        <v>45774.261999999995</v>
      </c>
      <c r="U24" s="90">
        <v>210852.583</v>
      </c>
      <c r="V24" s="87"/>
      <c r="W24" s="103"/>
      <c r="X24" s="82"/>
      <c r="Y24" s="34"/>
      <c r="Z24" s="34"/>
      <c r="AA24" s="34"/>
      <c r="AB24" s="104"/>
      <c r="AC24" s="104"/>
      <c r="AD24" s="34"/>
    </row>
    <row r="25" ht="15.75" customHeight="1">
      <c r="A25" s="87" t="str">
        <f t="shared" si="6"/>
        <v>CM13</v>
      </c>
      <c r="B25" s="88" t="str">
        <f t="shared" si="7"/>
        <v>243</v>
      </c>
      <c r="C25" s="88" t="str">
        <f t="shared" si="8"/>
        <v>22</v>
      </c>
      <c r="D25" s="88" t="str">
        <f t="shared" si="9"/>
        <v>38</v>
      </c>
      <c r="E25" s="120" t="str">
        <f t="shared" si="22"/>
        <v>15</v>
      </c>
      <c r="F25" s="88" t="str">
        <f t="shared" si="10"/>
        <v>243</v>
      </c>
      <c r="G25" s="88" t="str">
        <f t="shared" si="11"/>
        <v>243</v>
      </c>
      <c r="H25" s="88" t="str">
        <f t="shared" si="12"/>
        <v>22</v>
      </c>
      <c r="I25" s="88" t="str">
        <f t="shared" si="13"/>
        <v>53</v>
      </c>
      <c r="J25" s="88" t="str">
        <f t="shared" si="14"/>
        <v>243</v>
      </c>
      <c r="K25" s="88" t="str">
        <f t="shared" si="15"/>
        <v>-117</v>
      </c>
      <c r="L25" s="122" t="str">
        <f t="shared" si="16"/>
        <v>51.621</v>
      </c>
      <c r="M25" s="122" t="str">
        <f t="shared" si="17"/>
        <v>51.619</v>
      </c>
      <c r="N25" s="90" t="str">
        <f t="shared" si="18"/>
        <v>-23.129</v>
      </c>
      <c r="O25" s="131">
        <v>51.62189</v>
      </c>
      <c r="P25" s="122" t="str">
        <f t="shared" si="19"/>
        <v>0.001</v>
      </c>
      <c r="Q25" s="90" t="str">
        <f t="shared" si="20"/>
        <v>-46.150</v>
      </c>
      <c r="R25" s="122" t="str">
        <f t="shared" si="21"/>
        <v>0.002</v>
      </c>
      <c r="S25" s="87" t="s">
        <v>57</v>
      </c>
      <c r="T25" s="90">
        <v>45751.134</v>
      </c>
      <c r="U25" s="90">
        <v>210806.435</v>
      </c>
      <c r="V25" s="87"/>
      <c r="W25" s="103"/>
      <c r="X25" s="82"/>
      <c r="Y25" s="34"/>
      <c r="Z25" s="34"/>
      <c r="AA25" s="34"/>
      <c r="AB25" s="104"/>
      <c r="AC25" s="104"/>
      <c r="AD25" s="34"/>
    </row>
    <row r="26" ht="15.75" customHeight="1">
      <c r="A26" s="87" t="str">
        <f t="shared" si="6"/>
        <v>CM14</v>
      </c>
      <c r="B26" s="88" t="str">
        <f t="shared" si="7"/>
        <v>339</v>
      </c>
      <c r="C26" s="88" t="str">
        <f t="shared" si="8"/>
        <v>47</v>
      </c>
      <c r="D26" s="88" t="str">
        <f t="shared" si="9"/>
        <v>48</v>
      </c>
      <c r="E26" s="120" t="str">
        <f t="shared" si="22"/>
        <v>17</v>
      </c>
      <c r="F26" s="88" t="str">
        <f t="shared" si="10"/>
        <v>340</v>
      </c>
      <c r="G26" s="88" t="str">
        <f t="shared" si="11"/>
        <v>339</v>
      </c>
      <c r="H26" s="88" t="str">
        <f t="shared" si="12"/>
        <v>48</v>
      </c>
      <c r="I26" s="88" t="str">
        <f t="shared" si="13"/>
        <v>5</v>
      </c>
      <c r="J26" s="88" t="str">
        <f t="shared" si="14"/>
        <v>340</v>
      </c>
      <c r="K26" s="88" t="str">
        <f t="shared" si="15"/>
        <v>-20</v>
      </c>
      <c r="L26" s="122" t="str">
        <f t="shared" si="16"/>
        <v>65.571</v>
      </c>
      <c r="M26" s="122" t="str">
        <f t="shared" si="17"/>
        <v>65.571</v>
      </c>
      <c r="N26" s="90" t="str">
        <f t="shared" si="18"/>
        <v>61.538</v>
      </c>
      <c r="O26" s="131">
        <v>65.57138</v>
      </c>
      <c r="P26" s="122" t="str">
        <f t="shared" si="19"/>
        <v>0.002</v>
      </c>
      <c r="Q26" s="90" t="str">
        <f t="shared" si="20"/>
        <v>-22.640</v>
      </c>
      <c r="R26" s="122" t="str">
        <f t="shared" si="21"/>
        <v>0.003</v>
      </c>
      <c r="S26" s="87" t="s">
        <v>58</v>
      </c>
      <c r="T26" s="90">
        <v>45812.674</v>
      </c>
      <c r="U26" s="90">
        <v>210783.798</v>
      </c>
      <c r="V26" s="87"/>
      <c r="W26" s="103"/>
      <c r="X26" s="82"/>
      <c r="Y26" s="34"/>
      <c r="Z26" s="34"/>
      <c r="AA26" s="34"/>
      <c r="AB26" s="104"/>
      <c r="AC26" s="104"/>
      <c r="AD26" s="34"/>
    </row>
    <row r="27" ht="15.75" customHeight="1">
      <c r="A27" s="87" t="str">
        <f t="shared" si="6"/>
        <v>CM15</v>
      </c>
      <c r="B27" s="88" t="str">
        <f t="shared" si="7"/>
        <v>259</v>
      </c>
      <c r="C27" s="88" t="str">
        <f t="shared" si="8"/>
        <v>52</v>
      </c>
      <c r="D27" s="88" t="str">
        <f t="shared" si="9"/>
        <v>55</v>
      </c>
      <c r="E27" s="120" t="str">
        <f t="shared" si="22"/>
        <v>18</v>
      </c>
      <c r="F27" s="88" t="str">
        <f t="shared" si="10"/>
        <v>260</v>
      </c>
      <c r="G27" s="88" t="str">
        <f t="shared" si="11"/>
        <v>259</v>
      </c>
      <c r="H27" s="88" t="str">
        <f t="shared" si="12"/>
        <v>53</v>
      </c>
      <c r="I27" s="88" t="str">
        <f t="shared" si="13"/>
        <v>13</v>
      </c>
      <c r="J27" s="88" t="str">
        <f t="shared" si="14"/>
        <v>260</v>
      </c>
      <c r="K27" s="88" t="str">
        <f t="shared" si="15"/>
        <v>-100</v>
      </c>
      <c r="L27" s="122" t="str">
        <f t="shared" si="16"/>
        <v>226.104</v>
      </c>
      <c r="M27" s="122" t="str">
        <f t="shared" si="17"/>
        <v>226.093</v>
      </c>
      <c r="N27" s="90" t="str">
        <f t="shared" si="18"/>
        <v>-39.702</v>
      </c>
      <c r="O27" s="131">
        <v>226.09289</v>
      </c>
      <c r="P27" s="122" t="str">
        <f t="shared" si="19"/>
        <v>0.007</v>
      </c>
      <c r="Q27" s="90" t="str">
        <f t="shared" si="20"/>
        <v>-222.591</v>
      </c>
      <c r="R27" s="122" t="str">
        <f t="shared" si="21"/>
        <v>0.010</v>
      </c>
      <c r="S27" s="87" t="s">
        <v>59</v>
      </c>
      <c r="T27" s="90">
        <v>45772.979</v>
      </c>
      <c r="U27" s="90">
        <v>210561.217</v>
      </c>
      <c r="V27" s="87"/>
      <c r="W27" s="103"/>
      <c r="X27" s="82"/>
      <c r="Y27" s="34"/>
      <c r="Z27" s="34"/>
      <c r="AA27" s="34"/>
      <c r="AB27" s="104"/>
      <c r="AC27" s="104"/>
      <c r="AD27" s="34"/>
    </row>
    <row r="28" ht="15.75" customHeight="1">
      <c r="A28" s="87" t="str">
        <f t="shared" si="6"/>
        <v>CM16</v>
      </c>
      <c r="B28" s="88" t="str">
        <f t="shared" si="7"/>
        <v>267</v>
      </c>
      <c r="C28" s="88" t="str">
        <f t="shared" si="8"/>
        <v>59</v>
      </c>
      <c r="D28" s="88" t="str">
        <f t="shared" si="9"/>
        <v>38</v>
      </c>
      <c r="E28" s="120" t="str">
        <f t="shared" si="22"/>
        <v>19</v>
      </c>
      <c r="F28" s="88" t="str">
        <f t="shared" si="10"/>
        <v>268</v>
      </c>
      <c r="G28" s="88" t="str">
        <f t="shared" si="11"/>
        <v>267</v>
      </c>
      <c r="H28" s="88" t="str">
        <f t="shared" si="12"/>
        <v>59</v>
      </c>
      <c r="I28" s="88" t="str">
        <f t="shared" si="13"/>
        <v>57</v>
      </c>
      <c r="J28" s="88" t="str">
        <f t="shared" si="14"/>
        <v>268</v>
      </c>
      <c r="K28" s="88" t="str">
        <f t="shared" si="15"/>
        <v>-92</v>
      </c>
      <c r="L28" s="122" t="str">
        <f t="shared" si="16"/>
        <v>24.891</v>
      </c>
      <c r="M28" s="122" t="str">
        <f t="shared" si="17"/>
        <v>24.890</v>
      </c>
      <c r="N28" s="90" t="str">
        <f t="shared" si="18"/>
        <v>-0.869</v>
      </c>
      <c r="O28" s="131">
        <v>24.89014</v>
      </c>
      <c r="P28" s="122" t="str">
        <f t="shared" si="19"/>
        <v>0.001</v>
      </c>
      <c r="Q28" s="90" t="str">
        <f t="shared" si="20"/>
        <v>-24.876</v>
      </c>
      <c r="R28" s="122" t="str">
        <f t="shared" si="21"/>
        <v>0.001</v>
      </c>
      <c r="S28" s="87" t="s">
        <v>60</v>
      </c>
      <c r="T28" s="90">
        <v>45772.111</v>
      </c>
      <c r="U28" s="90">
        <v>210536.342</v>
      </c>
      <c r="V28" s="87"/>
      <c r="W28" s="103"/>
      <c r="X28" s="82"/>
      <c r="Y28" s="34"/>
      <c r="Z28" s="34"/>
      <c r="AA28" s="34"/>
      <c r="AB28" s="104"/>
      <c r="AC28" s="104"/>
      <c r="AD28" s="34"/>
    </row>
    <row r="29" ht="15.75" customHeight="1">
      <c r="A29" s="87" t="str">
        <f t="shared" si="6"/>
        <v>CM17</v>
      </c>
      <c r="B29" s="88" t="str">
        <f t="shared" si="7"/>
        <v>285</v>
      </c>
      <c r="C29" s="88" t="str">
        <f t="shared" si="8"/>
        <v>21</v>
      </c>
      <c r="D29" s="88" t="str">
        <f t="shared" si="9"/>
        <v>1</v>
      </c>
      <c r="E29" s="120" t="str">
        <f t="shared" si="22"/>
        <v>20</v>
      </c>
      <c r="F29" s="88" t="str">
        <f t="shared" si="10"/>
        <v>285</v>
      </c>
      <c r="G29" s="88" t="str">
        <f t="shared" si="11"/>
        <v>285</v>
      </c>
      <c r="H29" s="88" t="str">
        <f t="shared" si="12"/>
        <v>21</v>
      </c>
      <c r="I29" s="88" t="str">
        <f t="shared" si="13"/>
        <v>21</v>
      </c>
      <c r="J29" s="88" t="str">
        <f t="shared" si="14"/>
        <v>285</v>
      </c>
      <c r="K29" s="88" t="str">
        <f t="shared" si="15"/>
        <v>-75</v>
      </c>
      <c r="L29" s="122" t="str">
        <f t="shared" si="16"/>
        <v>51.432</v>
      </c>
      <c r="M29" s="122" t="str">
        <f t="shared" si="17"/>
        <v>51.431</v>
      </c>
      <c r="N29" s="90" t="str">
        <f t="shared" si="18"/>
        <v>13.620</v>
      </c>
      <c r="O29" s="131">
        <v>51.4305</v>
      </c>
      <c r="P29" s="122" t="str">
        <f t="shared" si="19"/>
        <v>0.001</v>
      </c>
      <c r="Q29" s="90" t="str">
        <f t="shared" si="20"/>
        <v>-49.596</v>
      </c>
      <c r="R29" s="122" t="str">
        <f t="shared" si="21"/>
        <v>0.002</v>
      </c>
      <c r="S29" s="87" t="s">
        <v>61</v>
      </c>
      <c r="T29" s="90">
        <v>45785.731999999996</v>
      </c>
      <c r="U29" s="90">
        <v>210486.748</v>
      </c>
      <c r="V29" s="87"/>
      <c r="W29" s="103"/>
      <c r="X29" s="82"/>
      <c r="Y29" s="34"/>
      <c r="Z29" s="34"/>
      <c r="AA29" s="34"/>
      <c r="AB29" s="104"/>
      <c r="AC29" s="104"/>
      <c r="AD29" s="34"/>
    </row>
    <row r="30" ht="15.75" customHeight="1">
      <c r="A30" s="87" t="str">
        <f t="shared" si="6"/>
        <v>CM18</v>
      </c>
      <c r="B30" s="88" t="str">
        <f t="shared" si="7"/>
        <v>203</v>
      </c>
      <c r="C30" s="88" t="str">
        <f t="shared" si="8"/>
        <v>24</v>
      </c>
      <c r="D30" s="88" t="str">
        <f t="shared" si="9"/>
        <v>0</v>
      </c>
      <c r="E30" s="120" t="str">
        <f t="shared" si="22"/>
        <v>21</v>
      </c>
      <c r="F30" s="88" t="str">
        <f t="shared" si="10"/>
        <v>203</v>
      </c>
      <c r="G30" s="88" t="str">
        <f t="shared" si="11"/>
        <v>203</v>
      </c>
      <c r="H30" s="88" t="str">
        <f t="shared" si="12"/>
        <v>24</v>
      </c>
      <c r="I30" s="88" t="str">
        <f t="shared" si="13"/>
        <v>21</v>
      </c>
      <c r="J30" s="88" t="str">
        <f t="shared" si="14"/>
        <v>203</v>
      </c>
      <c r="K30" s="88" t="str">
        <f t="shared" si="15"/>
        <v>-157</v>
      </c>
      <c r="L30" s="122" t="str">
        <f t="shared" si="16"/>
        <v>32.248</v>
      </c>
      <c r="M30" s="122" t="str">
        <f t="shared" si="17"/>
        <v>32.246</v>
      </c>
      <c r="N30" s="90" t="str">
        <f t="shared" si="18"/>
        <v>-29.594</v>
      </c>
      <c r="O30" s="131">
        <v>32.24618</v>
      </c>
      <c r="P30" s="122" t="str">
        <f t="shared" si="19"/>
        <v>0.001</v>
      </c>
      <c r="Q30" s="90" t="str">
        <f t="shared" si="20"/>
        <v>-12.810</v>
      </c>
      <c r="R30" s="122" t="str">
        <f t="shared" si="21"/>
        <v>0.001</v>
      </c>
      <c r="S30" s="87" t="s">
        <v>62</v>
      </c>
      <c r="T30" s="90">
        <v>45756.138999999996</v>
      </c>
      <c r="U30" s="90">
        <v>210473.939</v>
      </c>
      <c r="V30" s="87"/>
      <c r="W30" s="103"/>
      <c r="X30" s="82"/>
      <c r="Y30" s="34"/>
      <c r="Z30" s="34"/>
      <c r="AA30" s="34"/>
      <c r="AB30" s="104"/>
      <c r="AC30" s="104"/>
      <c r="AD30" s="34"/>
    </row>
    <row r="31" ht="15.75" customHeight="1">
      <c r="A31" s="87" t="str">
        <f t="shared" si="6"/>
        <v>CM19</v>
      </c>
      <c r="B31" s="88" t="str">
        <f t="shared" si="7"/>
        <v>203</v>
      </c>
      <c r="C31" s="88" t="str">
        <f t="shared" si="8"/>
        <v>19</v>
      </c>
      <c r="D31" s="88" t="str">
        <f t="shared" si="9"/>
        <v>26</v>
      </c>
      <c r="E31" s="120" t="str">
        <f t="shared" si="22"/>
        <v>22</v>
      </c>
      <c r="F31" s="88" t="str">
        <f t="shared" si="10"/>
        <v>203</v>
      </c>
      <c r="G31" s="88" t="str">
        <f t="shared" si="11"/>
        <v>203</v>
      </c>
      <c r="H31" s="88" t="str">
        <f t="shared" si="12"/>
        <v>19</v>
      </c>
      <c r="I31" s="88" t="str">
        <f t="shared" si="13"/>
        <v>48</v>
      </c>
      <c r="J31" s="88" t="str">
        <f t="shared" si="14"/>
        <v>203</v>
      </c>
      <c r="K31" s="88" t="str">
        <f t="shared" si="15"/>
        <v>-157</v>
      </c>
      <c r="L31" s="122" t="str">
        <f t="shared" si="16"/>
        <v>20.723</v>
      </c>
      <c r="M31" s="122" t="str">
        <f t="shared" si="17"/>
        <v>20.722</v>
      </c>
      <c r="N31" s="90" t="str">
        <f t="shared" si="18"/>
        <v>-19.029</v>
      </c>
      <c r="O31" s="131">
        <v>20.72205</v>
      </c>
      <c r="P31" s="122" t="str">
        <f t="shared" si="19"/>
        <v>0.001</v>
      </c>
      <c r="Q31" s="90" t="str">
        <f t="shared" si="20"/>
        <v>-8.207</v>
      </c>
      <c r="R31" s="122" t="str">
        <f t="shared" si="21"/>
        <v>0.001</v>
      </c>
      <c r="S31" s="87" t="s">
        <v>63</v>
      </c>
      <c r="T31" s="90">
        <v>45737.111</v>
      </c>
      <c r="U31" s="90">
        <v>210465.733</v>
      </c>
      <c r="V31" s="87"/>
      <c r="W31" s="103"/>
      <c r="X31" s="82"/>
      <c r="Y31" s="34"/>
      <c r="Z31" s="34"/>
      <c r="AA31" s="34"/>
      <c r="AB31" s="104"/>
      <c r="AC31" s="104"/>
      <c r="AD31" s="34"/>
    </row>
    <row r="32" ht="15.75" customHeight="1">
      <c r="A32" s="87" t="str">
        <f t="shared" si="6"/>
        <v>CM20</v>
      </c>
      <c r="B32" s="88" t="str">
        <f t="shared" si="7"/>
        <v>275</v>
      </c>
      <c r="C32" s="88" t="str">
        <f t="shared" si="8"/>
        <v>12</v>
      </c>
      <c r="D32" s="88" t="str">
        <f t="shared" si="9"/>
        <v>5</v>
      </c>
      <c r="E32" s="120" t="str">
        <f t="shared" si="22"/>
        <v>23</v>
      </c>
      <c r="F32" s="88" t="str">
        <f t="shared" si="10"/>
        <v>275</v>
      </c>
      <c r="G32" s="88" t="str">
        <f t="shared" si="11"/>
        <v>275</v>
      </c>
      <c r="H32" s="88" t="str">
        <f t="shared" si="12"/>
        <v>12</v>
      </c>
      <c r="I32" s="88" t="str">
        <f t="shared" si="13"/>
        <v>28</v>
      </c>
      <c r="J32" s="88" t="str">
        <f t="shared" si="14"/>
        <v>275</v>
      </c>
      <c r="K32" s="88" t="str">
        <f t="shared" si="15"/>
        <v>-85</v>
      </c>
      <c r="L32" s="122" t="str">
        <f t="shared" si="16"/>
        <v>59.152</v>
      </c>
      <c r="M32" s="122" t="str">
        <f t="shared" si="17"/>
        <v>59.149</v>
      </c>
      <c r="N32" s="90" t="str">
        <f t="shared" si="18"/>
        <v>5.369</v>
      </c>
      <c r="O32" s="131">
        <v>59.14936</v>
      </c>
      <c r="P32" s="122" t="str">
        <f t="shared" si="19"/>
        <v>0.002</v>
      </c>
      <c r="Q32" s="90" t="str">
        <f t="shared" si="20"/>
        <v>-58.908</v>
      </c>
      <c r="R32" s="122" t="str">
        <f t="shared" si="21"/>
        <v>0.003</v>
      </c>
      <c r="S32" s="87" t="s">
        <v>64</v>
      </c>
      <c r="T32" s="90">
        <v>45742.481999999996</v>
      </c>
      <c r="U32" s="90">
        <v>210406.828</v>
      </c>
      <c r="V32" s="87"/>
      <c r="W32" s="103"/>
      <c r="X32" s="82"/>
      <c r="Y32" s="34"/>
      <c r="Z32" s="34"/>
      <c r="AA32" s="34"/>
      <c r="AB32" s="104"/>
      <c r="AC32" s="104"/>
      <c r="AD32" s="34"/>
    </row>
    <row r="33" ht="15.75" customHeight="1">
      <c r="A33" s="87" t="str">
        <f t="shared" si="6"/>
        <v>CM21</v>
      </c>
      <c r="B33" s="88" t="str">
        <f t="shared" si="7"/>
        <v>7</v>
      </c>
      <c r="C33" s="88" t="str">
        <f t="shared" si="8"/>
        <v>48</v>
      </c>
      <c r="D33" s="88" t="str">
        <f t="shared" si="9"/>
        <v>31</v>
      </c>
      <c r="E33" s="120" t="str">
        <f t="shared" si="22"/>
        <v>24</v>
      </c>
      <c r="F33" s="88" t="str">
        <f t="shared" si="10"/>
        <v>8</v>
      </c>
      <c r="G33" s="88" t="str">
        <f t="shared" si="11"/>
        <v>7</v>
      </c>
      <c r="H33" s="88" t="str">
        <f t="shared" si="12"/>
        <v>48</v>
      </c>
      <c r="I33" s="88" t="str">
        <f t="shared" si="13"/>
        <v>55</v>
      </c>
      <c r="J33" s="88" t="str">
        <f t="shared" si="14"/>
        <v>8</v>
      </c>
      <c r="K33" s="88" t="str">
        <f t="shared" si="15"/>
        <v>8</v>
      </c>
      <c r="L33" s="122" t="str">
        <f t="shared" si="16"/>
        <v>39.057</v>
      </c>
      <c r="M33" s="122" t="str">
        <f t="shared" si="17"/>
        <v>39.058</v>
      </c>
      <c r="N33" s="90" t="str">
        <f t="shared" si="18"/>
        <v>38.694</v>
      </c>
      <c r="O33" s="131">
        <v>39.05805</v>
      </c>
      <c r="P33" s="122" t="str">
        <f t="shared" si="19"/>
        <v>0.001</v>
      </c>
      <c r="Q33" s="90" t="str">
        <f t="shared" si="20"/>
        <v>5.311</v>
      </c>
      <c r="R33" s="122" t="str">
        <f t="shared" si="21"/>
        <v>0.002</v>
      </c>
      <c r="S33" s="87" t="s">
        <v>65</v>
      </c>
      <c r="T33" s="90">
        <v>45781.176999999996</v>
      </c>
      <c r="U33" s="90">
        <v>210412.141</v>
      </c>
      <c r="V33" s="87"/>
      <c r="W33" s="103"/>
      <c r="X33" s="82"/>
      <c r="Y33" s="34"/>
      <c r="Z33" s="34"/>
      <c r="AA33" s="34"/>
      <c r="AB33" s="104"/>
      <c r="AC33" s="104"/>
      <c r="AD33" s="34"/>
    </row>
    <row r="34" ht="15.75" customHeight="1">
      <c r="A34" s="87" t="str">
        <f t="shared" si="6"/>
        <v>CM22</v>
      </c>
      <c r="B34" s="88" t="str">
        <f t="shared" si="7"/>
        <v>9</v>
      </c>
      <c r="C34" s="88" t="str">
        <f t="shared" si="8"/>
        <v>41</v>
      </c>
      <c r="D34" s="88" t="str">
        <f t="shared" si="9"/>
        <v>43</v>
      </c>
      <c r="E34" s="120" t="str">
        <f t="shared" si="22"/>
        <v>25</v>
      </c>
      <c r="F34" s="88" t="str">
        <f t="shared" si="10"/>
        <v>10</v>
      </c>
      <c r="G34" s="88" t="str">
        <f t="shared" si="11"/>
        <v>9</v>
      </c>
      <c r="H34" s="88" t="str">
        <f t="shared" si="12"/>
        <v>42</v>
      </c>
      <c r="I34" s="88" t="str">
        <f t="shared" si="13"/>
        <v>8</v>
      </c>
      <c r="J34" s="88" t="str">
        <f t="shared" si="14"/>
        <v>10</v>
      </c>
      <c r="K34" s="88" t="str">
        <f t="shared" si="15"/>
        <v>10</v>
      </c>
      <c r="L34" s="122" t="str">
        <f t="shared" si="16"/>
        <v>46.977</v>
      </c>
      <c r="M34" s="122" t="str">
        <f t="shared" si="17"/>
        <v>46.978</v>
      </c>
      <c r="N34" s="90" t="str">
        <f t="shared" si="18"/>
        <v>46.305</v>
      </c>
      <c r="O34" s="131">
        <v>46.97825</v>
      </c>
      <c r="P34" s="122" t="str">
        <f t="shared" si="19"/>
        <v>0.001</v>
      </c>
      <c r="Q34" s="90" t="str">
        <f t="shared" si="20"/>
        <v>7.917</v>
      </c>
      <c r="R34" s="122" t="str">
        <f t="shared" si="21"/>
        <v>0.002</v>
      </c>
      <c r="S34" s="87" t="s">
        <v>66</v>
      </c>
      <c r="T34" s="90">
        <v>45827.483</v>
      </c>
      <c r="U34" s="90">
        <v>210420.06</v>
      </c>
      <c r="V34" s="87"/>
      <c r="W34" s="103"/>
      <c r="X34" s="82"/>
      <c r="Y34" s="34"/>
      <c r="Z34" s="34"/>
      <c r="AA34" s="34"/>
      <c r="AB34" s="104"/>
      <c r="AC34" s="104"/>
      <c r="AD34" s="34"/>
    </row>
    <row r="35" ht="15.75" customHeight="1">
      <c r="A35" s="87" t="str">
        <f t="shared" si="6"/>
        <v>CM23</v>
      </c>
      <c r="B35" s="88" t="str">
        <f t="shared" si="7"/>
        <v>72</v>
      </c>
      <c r="C35" s="88" t="str">
        <f t="shared" si="8"/>
        <v>34</v>
      </c>
      <c r="D35" s="88" t="str">
        <f t="shared" si="9"/>
        <v>24</v>
      </c>
      <c r="E35" s="120" t="str">
        <f t="shared" si="22"/>
        <v>26</v>
      </c>
      <c r="F35" s="88" t="str">
        <f t="shared" si="10"/>
        <v>73</v>
      </c>
      <c r="G35" s="88" t="str">
        <f t="shared" si="11"/>
        <v>72</v>
      </c>
      <c r="H35" s="88" t="str">
        <f t="shared" si="12"/>
        <v>34</v>
      </c>
      <c r="I35" s="88" t="str">
        <f t="shared" si="13"/>
        <v>50</v>
      </c>
      <c r="J35" s="88" t="str">
        <f t="shared" si="14"/>
        <v>73</v>
      </c>
      <c r="K35" s="88" t="str">
        <f t="shared" si="15"/>
        <v>73</v>
      </c>
      <c r="L35" s="122" t="str">
        <f t="shared" si="16"/>
        <v>6.333</v>
      </c>
      <c r="M35" s="122" t="str">
        <f t="shared" si="17"/>
        <v>6.333</v>
      </c>
      <c r="N35" s="90" t="str">
        <f t="shared" si="18"/>
        <v>1.896</v>
      </c>
      <c r="O35" s="131">
        <v>6.33346</v>
      </c>
      <c r="P35" s="122" t="str">
        <f t="shared" si="19"/>
        <v>0.000</v>
      </c>
      <c r="Q35" s="90" t="str">
        <f t="shared" si="20"/>
        <v>6.043</v>
      </c>
      <c r="R35" s="122" t="str">
        <f t="shared" si="21"/>
        <v>0.000</v>
      </c>
      <c r="S35" s="87" t="s">
        <v>67</v>
      </c>
      <c r="T35" s="90">
        <v>45829.379</v>
      </c>
      <c r="U35" s="90">
        <v>210426.103</v>
      </c>
      <c r="V35" s="87"/>
      <c r="W35" s="103"/>
      <c r="X35" s="82"/>
      <c r="Y35" s="34"/>
      <c r="Z35" s="34"/>
      <c r="AA35" s="34"/>
      <c r="AB35" s="104"/>
      <c r="AC35" s="104"/>
      <c r="AD35" s="34"/>
    </row>
    <row r="36" ht="15.75" customHeight="1">
      <c r="A36" s="87" t="str">
        <f t="shared" si="6"/>
        <v>CM24</v>
      </c>
      <c r="B36" s="88" t="str">
        <f t="shared" si="7"/>
        <v>59</v>
      </c>
      <c r="C36" s="88" t="str">
        <f t="shared" si="8"/>
        <v>41</v>
      </c>
      <c r="D36" s="88" t="str">
        <f t="shared" si="9"/>
        <v>55</v>
      </c>
      <c r="E36" s="120" t="str">
        <f t="shared" si="22"/>
        <v>28</v>
      </c>
      <c r="F36" s="88" t="str">
        <f t="shared" si="10"/>
        <v>60</v>
      </c>
      <c r="G36" s="88" t="str">
        <f t="shared" si="11"/>
        <v>59</v>
      </c>
      <c r="H36" s="88" t="str">
        <f t="shared" si="12"/>
        <v>42</v>
      </c>
      <c r="I36" s="88" t="str">
        <f t="shared" si="13"/>
        <v>23</v>
      </c>
      <c r="J36" s="88" t="str">
        <f t="shared" si="14"/>
        <v>60</v>
      </c>
      <c r="K36" s="88" t="str">
        <f t="shared" si="15"/>
        <v>60</v>
      </c>
      <c r="L36" s="122" t="str">
        <f t="shared" si="16"/>
        <v>13.843</v>
      </c>
      <c r="M36" s="122" t="str">
        <f t="shared" si="17"/>
        <v>13.844</v>
      </c>
      <c r="N36" s="90" t="str">
        <f t="shared" si="18"/>
        <v>6.983</v>
      </c>
      <c r="O36" s="131">
        <v>13.84415</v>
      </c>
      <c r="P36" s="122" t="str">
        <f t="shared" si="19"/>
        <v>0.000</v>
      </c>
      <c r="Q36" s="90" t="str">
        <f t="shared" si="20"/>
        <v>11.953</v>
      </c>
      <c r="R36" s="122" t="str">
        <f t="shared" si="21"/>
        <v>0.001</v>
      </c>
      <c r="S36" s="87" t="s">
        <v>68</v>
      </c>
      <c r="T36" s="90">
        <v>45836.362</v>
      </c>
      <c r="U36" s="90">
        <v>210438.057</v>
      </c>
      <c r="V36" s="87"/>
      <c r="W36" s="103"/>
      <c r="X36" s="82"/>
      <c r="Y36" s="34"/>
      <c r="Z36" s="34"/>
      <c r="AA36" s="34"/>
      <c r="AB36" s="104"/>
      <c r="AC36" s="104"/>
      <c r="AD36" s="34"/>
    </row>
    <row r="37" ht="15.75" customHeight="1">
      <c r="A37" s="87" t="str">
        <f t="shared" si="6"/>
        <v>CM25</v>
      </c>
      <c r="B37" s="88" t="str">
        <f t="shared" si="7"/>
        <v>59</v>
      </c>
      <c r="C37" s="88" t="str">
        <f t="shared" si="8"/>
        <v>39</v>
      </c>
      <c r="D37" s="88" t="str">
        <f t="shared" si="9"/>
        <v>13</v>
      </c>
      <c r="E37" s="120" t="str">
        <f t="shared" si="22"/>
        <v>29</v>
      </c>
      <c r="F37" s="88" t="str">
        <f t="shared" si="10"/>
        <v>60</v>
      </c>
      <c r="G37" s="88" t="str">
        <f t="shared" si="11"/>
        <v>59</v>
      </c>
      <c r="H37" s="88" t="str">
        <f t="shared" si="12"/>
        <v>39</v>
      </c>
      <c r="I37" s="88" t="str">
        <f t="shared" si="13"/>
        <v>42</v>
      </c>
      <c r="J37" s="88" t="str">
        <f t="shared" si="14"/>
        <v>60</v>
      </c>
      <c r="K37" s="88" t="str">
        <f t="shared" si="15"/>
        <v>60</v>
      </c>
      <c r="L37" s="122" t="str">
        <f t="shared" si="16"/>
        <v>13.435</v>
      </c>
      <c r="M37" s="122" t="str">
        <f t="shared" si="17"/>
        <v>13.436</v>
      </c>
      <c r="N37" s="90" t="str">
        <f t="shared" si="18"/>
        <v>6.786</v>
      </c>
      <c r="O37" s="131">
        <v>13.43566</v>
      </c>
      <c r="P37" s="122" t="str">
        <f t="shared" si="19"/>
        <v>0.000</v>
      </c>
      <c r="Q37" s="90" t="str">
        <f t="shared" si="20"/>
        <v>11.595</v>
      </c>
      <c r="R37" s="122" t="str">
        <f t="shared" si="21"/>
        <v>0.001</v>
      </c>
      <c r="S37" s="87" t="s">
        <v>69</v>
      </c>
      <c r="T37" s="90">
        <v>45843.148</v>
      </c>
      <c r="U37" s="90">
        <v>210449.653</v>
      </c>
      <c r="V37" s="87"/>
      <c r="W37" s="103"/>
      <c r="X37" s="82"/>
      <c r="Y37" s="34"/>
      <c r="Z37" s="34"/>
      <c r="AA37" s="34"/>
      <c r="AB37" s="104"/>
      <c r="AC37" s="104"/>
      <c r="AD37" s="34"/>
    </row>
    <row r="38" ht="15.75" customHeight="1">
      <c r="A38" s="87" t="str">
        <f t="shared" si="6"/>
        <v>CM26</v>
      </c>
      <c r="B38" s="88" t="str">
        <f t="shared" si="7"/>
        <v>53</v>
      </c>
      <c r="C38" s="88" t="str">
        <f t="shared" si="8"/>
        <v>22</v>
      </c>
      <c r="D38" s="88" t="str">
        <f t="shared" si="9"/>
        <v>3</v>
      </c>
      <c r="E38" s="120" t="str">
        <f t="shared" si="22"/>
        <v>30</v>
      </c>
      <c r="F38" s="88" t="str">
        <f t="shared" si="10"/>
        <v>53</v>
      </c>
      <c r="G38" s="88" t="str">
        <f t="shared" si="11"/>
        <v>53</v>
      </c>
      <c r="H38" s="88" t="str">
        <f t="shared" si="12"/>
        <v>22</v>
      </c>
      <c r="I38" s="88" t="str">
        <f t="shared" si="13"/>
        <v>33</v>
      </c>
      <c r="J38" s="88" t="str">
        <f t="shared" si="14"/>
        <v>53</v>
      </c>
      <c r="K38" s="88" t="str">
        <f t="shared" si="15"/>
        <v>53</v>
      </c>
      <c r="L38" s="122" t="str">
        <f t="shared" si="16"/>
        <v>31.227</v>
      </c>
      <c r="M38" s="122" t="str">
        <f t="shared" si="17"/>
        <v>31.229</v>
      </c>
      <c r="N38" s="90" t="str">
        <f t="shared" si="18"/>
        <v>18.629</v>
      </c>
      <c r="O38" s="131">
        <v>31.22869</v>
      </c>
      <c r="P38" s="122" t="str">
        <f t="shared" si="19"/>
        <v>0.001</v>
      </c>
      <c r="Q38" s="90" t="str">
        <f t="shared" si="20"/>
        <v>25.062</v>
      </c>
      <c r="R38" s="122" t="str">
        <f t="shared" si="21"/>
        <v>0.001</v>
      </c>
      <c r="S38" s="87" t="s">
        <v>70</v>
      </c>
      <c r="T38" s="90">
        <v>45861.778</v>
      </c>
      <c r="U38" s="90">
        <v>210474.71600000001</v>
      </c>
      <c r="V38" s="87"/>
      <c r="W38" s="103"/>
      <c r="X38" s="82"/>
      <c r="Y38" s="34"/>
      <c r="Z38" s="34"/>
      <c r="AA38" s="34"/>
      <c r="AB38" s="104"/>
      <c r="AC38" s="104"/>
      <c r="AD38" s="34"/>
    </row>
    <row r="39" ht="15.75" customHeight="1">
      <c r="A39" s="87" t="str">
        <f t="shared" si="6"/>
        <v>CM27</v>
      </c>
      <c r="B39" s="88" t="str">
        <f t="shared" si="7"/>
        <v>23</v>
      </c>
      <c r="C39" s="88" t="str">
        <f t="shared" si="8"/>
        <v>11</v>
      </c>
      <c r="D39" s="88" t="str">
        <f t="shared" si="9"/>
        <v>24</v>
      </c>
      <c r="E39" s="120" t="str">
        <f t="shared" si="22"/>
        <v>31</v>
      </c>
      <c r="F39" s="88" t="str">
        <f t="shared" si="10"/>
        <v>23</v>
      </c>
      <c r="G39" s="88" t="str">
        <f t="shared" si="11"/>
        <v>23</v>
      </c>
      <c r="H39" s="88" t="str">
        <f t="shared" si="12"/>
        <v>11</v>
      </c>
      <c r="I39" s="88" t="str">
        <f t="shared" si="13"/>
        <v>55</v>
      </c>
      <c r="J39" s="88" t="str">
        <f t="shared" si="14"/>
        <v>23</v>
      </c>
      <c r="K39" s="88" t="str">
        <f t="shared" si="15"/>
        <v>23</v>
      </c>
      <c r="L39" s="122" t="str">
        <f t="shared" si="16"/>
        <v>0.008</v>
      </c>
      <c r="M39" s="122" t="str">
        <f t="shared" si="17"/>
        <v>0.008</v>
      </c>
      <c r="N39" s="90" t="str">
        <f t="shared" si="18"/>
        <v>0.007</v>
      </c>
      <c r="O39" s="131">
        <v>0.00762</v>
      </c>
      <c r="P39" s="122" t="str">
        <f t="shared" si="19"/>
        <v>0.000</v>
      </c>
      <c r="Q39" s="90" t="str">
        <f t="shared" si="20"/>
        <v>0.003</v>
      </c>
      <c r="R39" s="122" t="str">
        <f t="shared" si="21"/>
        <v>0.000</v>
      </c>
      <c r="S39" s="87" t="s">
        <v>71</v>
      </c>
      <c r="T39" s="90">
        <v>45861.784999999996</v>
      </c>
      <c r="U39" s="90">
        <v>210474.719</v>
      </c>
      <c r="V39" s="87"/>
      <c r="W39" s="103"/>
      <c r="X39" s="82"/>
      <c r="Y39" s="34"/>
      <c r="Z39" s="34"/>
      <c r="AA39" s="34"/>
      <c r="AB39" s="104"/>
      <c r="AC39" s="104"/>
      <c r="AD39" s="34"/>
    </row>
    <row r="40" ht="15.75" customHeight="1">
      <c r="A40" s="87" t="str">
        <f t="shared" si="6"/>
        <v>L1</v>
      </c>
      <c r="B40" s="88" t="str">
        <f t="shared" si="7"/>
        <v>49</v>
      </c>
      <c r="C40" s="88" t="str">
        <f t="shared" si="8"/>
        <v>6</v>
      </c>
      <c r="D40" s="88" t="str">
        <f t="shared" si="9"/>
        <v>53</v>
      </c>
      <c r="E40" s="120" t="str">
        <f t="shared" si="22"/>
        <v>32</v>
      </c>
      <c r="F40" s="88" t="str">
        <f t="shared" si="10"/>
        <v>49</v>
      </c>
      <c r="G40" s="88" t="str">
        <f t="shared" si="11"/>
        <v>49</v>
      </c>
      <c r="H40" s="88" t="str">
        <f t="shared" si="12"/>
        <v>7</v>
      </c>
      <c r="I40" s="88" t="str">
        <f t="shared" si="13"/>
        <v>25</v>
      </c>
      <c r="J40" s="88" t="str">
        <f t="shared" si="14"/>
        <v>49</v>
      </c>
      <c r="K40" s="88" t="str">
        <f t="shared" si="15"/>
        <v>49</v>
      </c>
      <c r="L40" s="122" t="str">
        <f t="shared" si="16"/>
        <v>9.106</v>
      </c>
      <c r="M40" s="122" t="str">
        <f t="shared" si="17"/>
        <v>9.106</v>
      </c>
      <c r="N40" s="90" t="str">
        <f t="shared" si="18"/>
        <v>5.959</v>
      </c>
      <c r="O40" s="131">
        <v>9.10565</v>
      </c>
      <c r="P40" s="122" t="str">
        <f t="shared" si="19"/>
        <v>0.000</v>
      </c>
      <c r="Q40" s="90" t="str">
        <f t="shared" si="20"/>
        <v>6.885</v>
      </c>
      <c r="R40" s="122" t="str">
        <f t="shared" si="21"/>
        <v>0.000</v>
      </c>
      <c r="S40" s="87" t="s">
        <v>72</v>
      </c>
      <c r="T40" s="90">
        <v>45867.744</v>
      </c>
      <c r="U40" s="90">
        <v>210481.604</v>
      </c>
      <c r="V40" s="87"/>
      <c r="W40" s="103"/>
      <c r="X40" s="82"/>
      <c r="Y40" s="34"/>
      <c r="Z40" s="34"/>
      <c r="AA40" s="34"/>
      <c r="AB40" s="104"/>
      <c r="AC40" s="104"/>
      <c r="AD40" s="34"/>
    </row>
    <row r="41" ht="15.75" customHeight="1">
      <c r="A41" s="87" t="str">
        <f t="shared" si="6"/>
        <v>CM28</v>
      </c>
      <c r="B41" s="88" t="str">
        <f t="shared" si="7"/>
        <v>51</v>
      </c>
      <c r="C41" s="88" t="str">
        <f t="shared" si="8"/>
        <v>29</v>
      </c>
      <c r="D41" s="88" t="str">
        <f t="shared" si="9"/>
        <v>13</v>
      </c>
      <c r="E41" s="120" t="str">
        <f t="shared" si="22"/>
        <v>33</v>
      </c>
      <c r="F41" s="88" t="str">
        <f t="shared" si="10"/>
        <v>51</v>
      </c>
      <c r="G41" s="88" t="str">
        <f t="shared" si="11"/>
        <v>51</v>
      </c>
      <c r="H41" s="88" t="str">
        <f t="shared" si="12"/>
        <v>29</v>
      </c>
      <c r="I41" s="88" t="str">
        <f t="shared" si="13"/>
        <v>46</v>
      </c>
      <c r="J41" s="88" t="str">
        <f t="shared" si="14"/>
        <v>51</v>
      </c>
      <c r="K41" s="88" t="str">
        <f t="shared" si="15"/>
        <v>51</v>
      </c>
      <c r="L41" s="122" t="str">
        <f t="shared" si="16"/>
        <v>39.307</v>
      </c>
      <c r="M41" s="122" t="str">
        <f t="shared" si="17"/>
        <v>39.309</v>
      </c>
      <c r="N41" s="90" t="str">
        <f t="shared" si="18"/>
        <v>24.471</v>
      </c>
      <c r="O41" s="131">
        <v>39.30877</v>
      </c>
      <c r="P41" s="122" t="str">
        <f t="shared" si="19"/>
        <v>0.001</v>
      </c>
      <c r="Q41" s="90" t="str">
        <f t="shared" si="20"/>
        <v>30.760</v>
      </c>
      <c r="R41" s="122" t="str">
        <f t="shared" si="21"/>
        <v>0.002</v>
      </c>
      <c r="S41" s="87" t="s">
        <v>73</v>
      </c>
      <c r="T41" s="90">
        <v>45892.216</v>
      </c>
      <c r="U41" s="90">
        <v>210512.366</v>
      </c>
      <c r="V41" s="87"/>
      <c r="W41" s="103"/>
      <c r="X41" s="82"/>
      <c r="Y41" s="34"/>
      <c r="Z41" s="34"/>
      <c r="AA41" s="34"/>
      <c r="AB41" s="104"/>
      <c r="AC41" s="104"/>
      <c r="AD41" s="34"/>
    </row>
    <row r="42" ht="15.75" customHeight="1">
      <c r="A42" s="87" t="str">
        <f t="shared" si="6"/>
        <v>CM29</v>
      </c>
      <c r="B42" s="88" t="str">
        <f t="shared" si="7"/>
        <v>55</v>
      </c>
      <c r="C42" s="88" t="str">
        <f t="shared" si="8"/>
        <v>17</v>
      </c>
      <c r="D42" s="88" t="str">
        <f t="shared" si="9"/>
        <v>6</v>
      </c>
      <c r="E42" s="120" t="str">
        <f t="shared" si="22"/>
        <v>34</v>
      </c>
      <c r="F42" s="88" t="str">
        <f t="shared" si="10"/>
        <v>55</v>
      </c>
      <c r="G42" s="88" t="str">
        <f t="shared" si="11"/>
        <v>55</v>
      </c>
      <c r="H42" s="88" t="str">
        <f t="shared" si="12"/>
        <v>17</v>
      </c>
      <c r="I42" s="88" t="str">
        <f t="shared" si="13"/>
        <v>40</v>
      </c>
      <c r="J42" s="88" t="str">
        <f t="shared" si="14"/>
        <v>55</v>
      </c>
      <c r="K42" s="88" t="str">
        <f t="shared" si="15"/>
        <v>55</v>
      </c>
      <c r="L42" s="122" t="str">
        <f t="shared" si="16"/>
        <v>18.684</v>
      </c>
      <c r="M42" s="122" t="str">
        <f t="shared" si="17"/>
        <v>18.686</v>
      </c>
      <c r="N42" s="90" t="str">
        <f t="shared" si="18"/>
        <v>10.638</v>
      </c>
      <c r="O42" s="131">
        <v>18.68552</v>
      </c>
      <c r="P42" s="122" t="str">
        <f t="shared" si="19"/>
        <v>0.001</v>
      </c>
      <c r="Q42" s="90" t="str">
        <f t="shared" si="20"/>
        <v>15.360</v>
      </c>
      <c r="R42" s="122" t="str">
        <f t="shared" si="21"/>
        <v>0.001</v>
      </c>
      <c r="S42" s="87" t="s">
        <v>74</v>
      </c>
      <c r="T42" s="90">
        <v>45902.854999999996</v>
      </c>
      <c r="U42" s="90">
        <v>210527.727</v>
      </c>
      <c r="V42" s="87"/>
      <c r="W42" s="103"/>
      <c r="X42" s="82"/>
      <c r="Y42" s="34"/>
      <c r="Z42" s="34"/>
      <c r="AA42" s="34"/>
      <c r="AB42" s="104"/>
      <c r="AC42" s="104"/>
      <c r="AD42" s="34"/>
    </row>
    <row r="43" ht="15.75" customHeight="1">
      <c r="A43" s="87" t="str">
        <f t="shared" si="6"/>
        <v>CM30</v>
      </c>
      <c r="B43" s="88" t="str">
        <f t="shared" si="7"/>
        <v>45</v>
      </c>
      <c r="C43" s="88" t="str">
        <f t="shared" si="8"/>
        <v>34</v>
      </c>
      <c r="D43" s="88" t="str">
        <f t="shared" si="9"/>
        <v>43</v>
      </c>
      <c r="E43" s="120" t="str">
        <f t="shared" si="22"/>
        <v>35</v>
      </c>
      <c r="F43" s="88" t="str">
        <f t="shared" si="10"/>
        <v>46</v>
      </c>
      <c r="G43" s="88" t="str">
        <f t="shared" si="11"/>
        <v>45</v>
      </c>
      <c r="H43" s="88" t="str">
        <f t="shared" si="12"/>
        <v>35</v>
      </c>
      <c r="I43" s="88" t="str">
        <f t="shared" si="13"/>
        <v>18</v>
      </c>
      <c r="J43" s="88" t="str">
        <f t="shared" si="14"/>
        <v>46</v>
      </c>
      <c r="K43" s="88" t="str">
        <f t="shared" si="15"/>
        <v>46</v>
      </c>
      <c r="L43" s="122" t="str">
        <f t="shared" si="16"/>
        <v>38.978</v>
      </c>
      <c r="M43" s="122" t="str">
        <f t="shared" si="17"/>
        <v>38.980</v>
      </c>
      <c r="N43" s="90" t="str">
        <f t="shared" si="18"/>
        <v>27.277</v>
      </c>
      <c r="O43" s="131">
        <v>38.97991</v>
      </c>
      <c r="P43" s="122" t="str">
        <f t="shared" si="19"/>
        <v>0.001</v>
      </c>
      <c r="Q43" s="90" t="str">
        <f t="shared" si="20"/>
        <v>27.843</v>
      </c>
      <c r="R43" s="122" t="str">
        <f t="shared" si="21"/>
        <v>0.002</v>
      </c>
      <c r="S43" s="87" t="s">
        <v>75</v>
      </c>
      <c r="T43" s="90">
        <v>45930.133</v>
      </c>
      <c r="U43" s="90">
        <v>210555.57200000001</v>
      </c>
      <c r="V43" s="87"/>
      <c r="W43" s="103"/>
      <c r="X43" s="82"/>
      <c r="Y43" s="34"/>
      <c r="Z43" s="34"/>
      <c r="AA43" s="34"/>
      <c r="AB43" s="104"/>
      <c r="AC43" s="104"/>
      <c r="AD43" s="34"/>
    </row>
    <row r="44" ht="15.75" customHeight="1">
      <c r="A44" s="87" t="str">
        <f t="shared" si="6"/>
        <v>CM31</v>
      </c>
      <c r="B44" s="88" t="str">
        <f t="shared" si="7"/>
        <v>316</v>
      </c>
      <c r="C44" s="88" t="str">
        <f t="shared" si="8"/>
        <v>24</v>
      </c>
      <c r="D44" s="88" t="str">
        <f t="shared" si="9"/>
        <v>32</v>
      </c>
      <c r="E44" s="120" t="str">
        <f t="shared" si="22"/>
        <v>36</v>
      </c>
      <c r="F44" s="88" t="str">
        <f t="shared" si="10"/>
        <v>316</v>
      </c>
      <c r="G44" s="88" t="str">
        <f t="shared" si="11"/>
        <v>316</v>
      </c>
      <c r="H44" s="88" t="str">
        <f t="shared" si="12"/>
        <v>25</v>
      </c>
      <c r="I44" s="88" t="str">
        <f t="shared" si="13"/>
        <v>8</v>
      </c>
      <c r="J44" s="88" t="str">
        <f t="shared" si="14"/>
        <v>316</v>
      </c>
      <c r="K44" s="88" t="str">
        <f t="shared" si="15"/>
        <v>-44</v>
      </c>
      <c r="L44" s="122" t="str">
        <f t="shared" si="16"/>
        <v>25.329</v>
      </c>
      <c r="M44" s="122" t="str">
        <f t="shared" si="17"/>
        <v>25.329</v>
      </c>
      <c r="N44" s="90" t="str">
        <f t="shared" si="18"/>
        <v>18.348</v>
      </c>
      <c r="O44" s="131">
        <v>25.32859</v>
      </c>
      <c r="P44" s="122" t="str">
        <f t="shared" si="19"/>
        <v>0.001</v>
      </c>
      <c r="Q44" s="90" t="str">
        <f t="shared" si="20"/>
        <v>-17.461</v>
      </c>
      <c r="R44" s="122" t="str">
        <f t="shared" si="21"/>
        <v>0.001</v>
      </c>
      <c r="S44" s="87" t="s">
        <v>76</v>
      </c>
      <c r="T44" s="90">
        <v>45948.481999999996</v>
      </c>
      <c r="U44" s="90">
        <v>210538.112</v>
      </c>
      <c r="V44" s="87"/>
      <c r="W44" s="103"/>
      <c r="X44" s="82"/>
      <c r="Y44" s="34"/>
      <c r="Z44" s="34"/>
      <c r="AA44" s="34"/>
      <c r="AB44" s="104"/>
      <c r="AC44" s="104"/>
      <c r="AD44" s="34"/>
    </row>
    <row r="45" ht="15.75" customHeight="1">
      <c r="A45" s="87" t="str">
        <f t="shared" si="6"/>
        <v>CM32</v>
      </c>
      <c r="B45" s="88" t="str">
        <f t="shared" si="7"/>
        <v>36</v>
      </c>
      <c r="C45" s="88" t="str">
        <f t="shared" si="8"/>
        <v>35</v>
      </c>
      <c r="D45" s="88" t="str">
        <f t="shared" si="9"/>
        <v>19</v>
      </c>
      <c r="E45" s="120" t="str">
        <f t="shared" si="22"/>
        <v>37</v>
      </c>
      <c r="F45" s="88" t="str">
        <f t="shared" si="10"/>
        <v>37</v>
      </c>
      <c r="G45" s="88" t="str">
        <f t="shared" si="11"/>
        <v>36</v>
      </c>
      <c r="H45" s="88" t="str">
        <f t="shared" si="12"/>
        <v>35</v>
      </c>
      <c r="I45" s="88" t="str">
        <f t="shared" si="13"/>
        <v>56</v>
      </c>
      <c r="J45" s="88" t="str">
        <f t="shared" si="14"/>
        <v>37</v>
      </c>
      <c r="K45" s="88" t="str">
        <f t="shared" si="15"/>
        <v>37</v>
      </c>
      <c r="L45" s="122" t="str">
        <f t="shared" si="16"/>
        <v>19.069</v>
      </c>
      <c r="M45" s="122" t="str">
        <f t="shared" si="17"/>
        <v>19.070</v>
      </c>
      <c r="N45" s="90" t="str">
        <f t="shared" si="18"/>
        <v>15.309</v>
      </c>
      <c r="O45" s="131">
        <v>19.07021</v>
      </c>
      <c r="P45" s="122" t="str">
        <f t="shared" si="19"/>
        <v>0.001</v>
      </c>
      <c r="Q45" s="90" t="str">
        <f t="shared" si="20"/>
        <v>11.369</v>
      </c>
      <c r="R45" s="122" t="str">
        <f t="shared" si="21"/>
        <v>0.001</v>
      </c>
      <c r="S45" s="87" t="s">
        <v>77</v>
      </c>
      <c r="T45" s="90">
        <v>45963.792</v>
      </c>
      <c r="U45" s="90">
        <v>210549.482</v>
      </c>
      <c r="V45" s="87"/>
      <c r="W45" s="103"/>
      <c r="X45" s="82"/>
      <c r="Y45" s="34"/>
      <c r="Z45" s="34"/>
      <c r="AA45" s="34"/>
      <c r="AB45" s="104"/>
      <c r="AC45" s="104"/>
      <c r="AD45" s="34"/>
    </row>
    <row r="46" ht="15.75" customHeight="1">
      <c r="A46" s="87" t="str">
        <f t="shared" si="6"/>
        <v>CM33</v>
      </c>
      <c r="B46" s="88" t="str">
        <f t="shared" si="7"/>
        <v>307</v>
      </c>
      <c r="C46" s="88" t="str">
        <f t="shared" si="8"/>
        <v>31</v>
      </c>
      <c r="D46" s="88" t="str">
        <f t="shared" si="9"/>
        <v>51</v>
      </c>
      <c r="E46" s="120" t="str">
        <f t="shared" si="22"/>
        <v>39</v>
      </c>
      <c r="F46" s="88" t="str">
        <f t="shared" si="10"/>
        <v>308</v>
      </c>
      <c r="G46" s="88" t="str">
        <f t="shared" si="11"/>
        <v>307</v>
      </c>
      <c r="H46" s="88" t="str">
        <f t="shared" si="12"/>
        <v>32</v>
      </c>
      <c r="I46" s="88" t="str">
        <f t="shared" si="13"/>
        <v>30</v>
      </c>
      <c r="J46" s="88" t="str">
        <f t="shared" si="14"/>
        <v>308</v>
      </c>
      <c r="K46" s="88" t="str">
        <f t="shared" si="15"/>
        <v>-52</v>
      </c>
      <c r="L46" s="122" t="str">
        <f t="shared" si="16"/>
        <v>52.595</v>
      </c>
      <c r="M46" s="122" t="str">
        <f t="shared" si="17"/>
        <v>52.594</v>
      </c>
      <c r="N46" s="90" t="str">
        <f t="shared" si="18"/>
        <v>32.048</v>
      </c>
      <c r="O46" s="131">
        <v>52.59445</v>
      </c>
      <c r="P46" s="122" t="str">
        <f t="shared" si="19"/>
        <v>0.002</v>
      </c>
      <c r="Q46" s="90" t="str">
        <f t="shared" si="20"/>
        <v>-41.703</v>
      </c>
      <c r="R46" s="122" t="str">
        <f t="shared" si="21"/>
        <v>0.002</v>
      </c>
      <c r="S46" s="87" t="s">
        <v>78</v>
      </c>
      <c r="T46" s="90">
        <v>45995.842</v>
      </c>
      <c r="U46" s="90">
        <v>210507.781</v>
      </c>
      <c r="V46" s="87"/>
      <c r="W46" s="103"/>
      <c r="X46" s="82"/>
      <c r="Y46" s="34"/>
      <c r="Z46" s="34"/>
      <c r="AA46" s="34"/>
      <c r="AB46" s="104"/>
      <c r="AC46" s="104"/>
      <c r="AD46" s="34"/>
    </row>
    <row r="47" ht="15.75" customHeight="1">
      <c r="A47" s="87" t="str">
        <f t="shared" si="6"/>
        <v>CM34</v>
      </c>
      <c r="B47" s="88" t="str">
        <f t="shared" si="7"/>
        <v>312</v>
      </c>
      <c r="C47" s="88" t="str">
        <f t="shared" si="8"/>
        <v>43</v>
      </c>
      <c r="D47" s="88" t="str">
        <f t="shared" si="9"/>
        <v>51</v>
      </c>
      <c r="E47" s="120" t="str">
        <f t="shared" si="22"/>
        <v>40</v>
      </c>
      <c r="F47" s="88" t="str">
        <f t="shared" si="10"/>
        <v>313</v>
      </c>
      <c r="G47" s="88" t="str">
        <f t="shared" si="11"/>
        <v>312</v>
      </c>
      <c r="H47" s="88" t="str">
        <f t="shared" si="12"/>
        <v>44</v>
      </c>
      <c r="I47" s="88" t="str">
        <f t="shared" si="13"/>
        <v>31</v>
      </c>
      <c r="J47" s="88" t="str">
        <f t="shared" si="14"/>
        <v>313</v>
      </c>
      <c r="K47" s="88" t="str">
        <f t="shared" si="15"/>
        <v>-47</v>
      </c>
      <c r="L47" s="122" t="str">
        <f t="shared" si="16"/>
        <v>6.174</v>
      </c>
      <c r="M47" s="122" t="str">
        <f t="shared" si="17"/>
        <v>6.174</v>
      </c>
      <c r="N47" s="90" t="str">
        <f t="shared" si="18"/>
        <v>4.190</v>
      </c>
      <c r="O47" s="131">
        <v>6.17359</v>
      </c>
      <c r="P47" s="122" t="str">
        <f t="shared" si="19"/>
        <v>0.000</v>
      </c>
      <c r="Q47" s="90" t="str">
        <f t="shared" si="20"/>
        <v>-4.534</v>
      </c>
      <c r="R47" s="122" t="str">
        <f t="shared" si="21"/>
        <v>0.000</v>
      </c>
      <c r="S47" s="87" t="s">
        <v>79</v>
      </c>
      <c r="T47" s="90">
        <v>46000.032</v>
      </c>
      <c r="U47" s="90">
        <v>210503.247</v>
      </c>
      <c r="V47" s="87"/>
      <c r="W47" s="103"/>
      <c r="X47" s="82"/>
      <c r="Y47" s="34"/>
      <c r="Z47" s="34"/>
      <c r="AA47" s="34"/>
      <c r="AB47" s="104"/>
      <c r="AC47" s="104"/>
      <c r="AD47" s="34"/>
    </row>
    <row r="48" ht="15.75" customHeight="1">
      <c r="A48" s="87" t="str">
        <f t="shared" si="6"/>
        <v>CM35</v>
      </c>
      <c r="B48" s="88" t="str">
        <f t="shared" si="7"/>
        <v>329</v>
      </c>
      <c r="C48" s="88" t="str">
        <f t="shared" si="8"/>
        <v>26</v>
      </c>
      <c r="D48" s="88" t="str">
        <f t="shared" si="9"/>
        <v>5</v>
      </c>
      <c r="E48" s="120" t="str">
        <f t="shared" si="22"/>
        <v>41</v>
      </c>
      <c r="F48" s="88" t="str">
        <f t="shared" si="10"/>
        <v>329</v>
      </c>
      <c r="G48" s="88" t="str">
        <f t="shared" si="11"/>
        <v>329</v>
      </c>
      <c r="H48" s="88" t="str">
        <f t="shared" si="12"/>
        <v>26</v>
      </c>
      <c r="I48" s="88" t="str">
        <f t="shared" si="13"/>
        <v>46</v>
      </c>
      <c r="J48" s="88" t="str">
        <f t="shared" si="14"/>
        <v>329</v>
      </c>
      <c r="K48" s="88" t="str">
        <f t="shared" si="15"/>
        <v>-31</v>
      </c>
      <c r="L48" s="122" t="str">
        <f t="shared" si="16"/>
        <v>19.158</v>
      </c>
      <c r="M48" s="122" t="str">
        <f t="shared" si="17"/>
        <v>19.158</v>
      </c>
      <c r="N48" s="90" t="str">
        <f t="shared" si="18"/>
        <v>16.498</v>
      </c>
      <c r="O48" s="131">
        <v>19.15844</v>
      </c>
      <c r="P48" s="122" t="str">
        <f t="shared" si="19"/>
        <v>0.001</v>
      </c>
      <c r="Q48" s="90" t="str">
        <f t="shared" si="20"/>
        <v>-9.739</v>
      </c>
      <c r="R48" s="122" t="str">
        <f t="shared" si="21"/>
        <v>0.001</v>
      </c>
      <c r="S48" s="87" t="s">
        <v>80</v>
      </c>
      <c r="T48" s="90">
        <v>46016.530999999995</v>
      </c>
      <c r="U48" s="90">
        <v>210493.509</v>
      </c>
      <c r="V48" s="87"/>
      <c r="W48" s="103"/>
      <c r="X48" s="82"/>
      <c r="Y48" s="34"/>
      <c r="Z48" s="34"/>
      <c r="AA48" s="34"/>
      <c r="AB48" s="104"/>
      <c r="AC48" s="104"/>
      <c r="AD48" s="34"/>
    </row>
    <row r="49" ht="15.75" customHeight="1">
      <c r="A49" s="87" t="str">
        <f t="shared" si="6"/>
        <v>CM36</v>
      </c>
      <c r="B49" s="88" t="str">
        <f t="shared" si="7"/>
        <v>307</v>
      </c>
      <c r="C49" s="88" t="str">
        <f t="shared" si="8"/>
        <v>12</v>
      </c>
      <c r="D49" s="88" t="str">
        <f t="shared" si="9"/>
        <v>3</v>
      </c>
      <c r="E49" s="120" t="str">
        <f t="shared" si="22"/>
        <v>42</v>
      </c>
      <c r="F49" s="88" t="str">
        <f t="shared" si="10"/>
        <v>307</v>
      </c>
      <c r="G49" s="88" t="str">
        <f t="shared" si="11"/>
        <v>307</v>
      </c>
      <c r="H49" s="88" t="str">
        <f t="shared" si="12"/>
        <v>12</v>
      </c>
      <c r="I49" s="88" t="str">
        <f t="shared" si="13"/>
        <v>45</v>
      </c>
      <c r="J49" s="88" t="str">
        <f t="shared" si="14"/>
        <v>307</v>
      </c>
      <c r="K49" s="88" t="str">
        <f t="shared" si="15"/>
        <v>-53</v>
      </c>
      <c r="L49" s="122" t="str">
        <f t="shared" si="16"/>
        <v>24.652</v>
      </c>
      <c r="M49" s="122" t="str">
        <f t="shared" si="17"/>
        <v>24.652</v>
      </c>
      <c r="N49" s="90" t="str">
        <f t="shared" si="18"/>
        <v>14.909</v>
      </c>
      <c r="O49" s="131">
        <v>24.65205</v>
      </c>
      <c r="P49" s="122" t="str">
        <f t="shared" si="19"/>
        <v>0.001</v>
      </c>
      <c r="Q49" s="90" t="str">
        <f t="shared" si="20"/>
        <v>-19.633</v>
      </c>
      <c r="R49" s="122" t="str">
        <f t="shared" si="21"/>
        <v>0.001</v>
      </c>
      <c r="S49" s="87" t="s">
        <v>81</v>
      </c>
      <c r="T49" s="90">
        <v>46031.441</v>
      </c>
      <c r="U49" s="90">
        <v>210473.877</v>
      </c>
      <c r="V49" s="87"/>
      <c r="W49" s="103"/>
      <c r="X49" s="82"/>
      <c r="Y49" s="34"/>
      <c r="Z49" s="34"/>
      <c r="AA49" s="34"/>
      <c r="AB49" s="104"/>
      <c r="AC49" s="104"/>
      <c r="AD49" s="34"/>
    </row>
    <row r="50" ht="15.75" customHeight="1">
      <c r="A50" s="87" t="str">
        <f t="shared" si="6"/>
        <v>CM37</v>
      </c>
      <c r="B50" s="88" t="str">
        <f t="shared" si="7"/>
        <v>38</v>
      </c>
      <c r="C50" s="88" t="str">
        <f t="shared" si="8"/>
        <v>44</v>
      </c>
      <c r="D50" s="88" t="str">
        <f t="shared" si="9"/>
        <v>19</v>
      </c>
      <c r="E50" s="120" t="str">
        <f t="shared" si="22"/>
        <v>43</v>
      </c>
      <c r="F50" s="88" t="str">
        <f t="shared" si="10"/>
        <v>39</v>
      </c>
      <c r="G50" s="88" t="str">
        <f t="shared" si="11"/>
        <v>38</v>
      </c>
      <c r="H50" s="88" t="str">
        <f t="shared" si="12"/>
        <v>45</v>
      </c>
      <c r="I50" s="88" t="str">
        <f t="shared" si="13"/>
        <v>2</v>
      </c>
      <c r="J50" s="88" t="str">
        <f t="shared" si="14"/>
        <v>39</v>
      </c>
      <c r="K50" s="88" t="str">
        <f t="shared" si="15"/>
        <v>39</v>
      </c>
      <c r="L50" s="122" t="str">
        <f t="shared" si="16"/>
        <v>27.334</v>
      </c>
      <c r="M50" s="122" t="str">
        <f t="shared" si="17"/>
        <v>27.335</v>
      </c>
      <c r="N50" s="90" t="str">
        <f t="shared" si="18"/>
        <v>21.317</v>
      </c>
      <c r="O50" s="131">
        <v>27.33513</v>
      </c>
      <c r="P50" s="122" t="str">
        <f t="shared" si="19"/>
        <v>0.001</v>
      </c>
      <c r="Q50" s="90" t="str">
        <f t="shared" si="20"/>
        <v>17.109</v>
      </c>
      <c r="R50" s="122" t="str">
        <f t="shared" si="21"/>
        <v>0.001</v>
      </c>
      <c r="S50" s="87" t="s">
        <v>82</v>
      </c>
      <c r="T50" s="90">
        <v>46052.759</v>
      </c>
      <c r="U50" s="90">
        <v>210490.987</v>
      </c>
      <c r="V50" s="87"/>
      <c r="W50" s="103"/>
      <c r="X50" s="82"/>
      <c r="Y50" s="34"/>
      <c r="Z50" s="34"/>
      <c r="AA50" s="34"/>
      <c r="AB50" s="104"/>
      <c r="AC50" s="104"/>
      <c r="AD50" s="34"/>
    </row>
    <row r="51" ht="15.75" customHeight="1">
      <c r="A51" s="87" t="str">
        <f t="shared" si="6"/>
        <v>CM38</v>
      </c>
      <c r="B51" s="88" t="str">
        <f t="shared" si="7"/>
        <v>38</v>
      </c>
      <c r="C51" s="88" t="str">
        <f t="shared" si="8"/>
        <v>11</v>
      </c>
      <c r="D51" s="88" t="str">
        <f t="shared" si="9"/>
        <v>12</v>
      </c>
      <c r="E51" s="120" t="str">
        <f t="shared" si="22"/>
        <v>44</v>
      </c>
      <c r="F51" s="88" t="str">
        <f t="shared" si="10"/>
        <v>38</v>
      </c>
      <c r="G51" s="88" t="str">
        <f t="shared" si="11"/>
        <v>38</v>
      </c>
      <c r="H51" s="88" t="str">
        <f t="shared" si="12"/>
        <v>11</v>
      </c>
      <c r="I51" s="88" t="str">
        <f t="shared" si="13"/>
        <v>56</v>
      </c>
      <c r="J51" s="88" t="str">
        <f t="shared" si="14"/>
        <v>38</v>
      </c>
      <c r="K51" s="88" t="str">
        <f t="shared" si="15"/>
        <v>38</v>
      </c>
      <c r="L51" s="122" t="str">
        <f t="shared" si="16"/>
        <v>23.281</v>
      </c>
      <c r="M51" s="122" t="str">
        <f t="shared" si="17"/>
        <v>23.283</v>
      </c>
      <c r="N51" s="90" t="str">
        <f t="shared" si="18"/>
        <v>18.296</v>
      </c>
      <c r="O51" s="131">
        <v>23.28267</v>
      </c>
      <c r="P51" s="122" t="str">
        <f t="shared" si="19"/>
        <v>0.001</v>
      </c>
      <c r="Q51" s="90" t="str">
        <f t="shared" si="20"/>
        <v>14.397</v>
      </c>
      <c r="R51" s="122" t="str">
        <f t="shared" si="21"/>
        <v>0.001</v>
      </c>
      <c r="S51" s="87" t="s">
        <v>83</v>
      </c>
      <c r="T51" s="90">
        <v>46071.056</v>
      </c>
      <c r="U51" s="90">
        <v>210505.385</v>
      </c>
      <c r="V51" s="87"/>
      <c r="W51" s="103"/>
      <c r="X51" s="82"/>
      <c r="Y51" s="34"/>
      <c r="Z51" s="34"/>
      <c r="AA51" s="34"/>
      <c r="AB51" s="104"/>
      <c r="AC51" s="104"/>
      <c r="AD51" s="34"/>
    </row>
    <row r="52" ht="15.75" customHeight="1">
      <c r="A52" s="87" t="str">
        <f t="shared" si="6"/>
        <v>CM39</v>
      </c>
      <c r="B52" s="88" t="str">
        <f t="shared" si="7"/>
        <v>34</v>
      </c>
      <c r="C52" s="88" t="str">
        <f t="shared" si="8"/>
        <v>37</v>
      </c>
      <c r="D52" s="88" t="str">
        <f t="shared" si="9"/>
        <v>56</v>
      </c>
      <c r="E52" s="120" t="str">
        <f t="shared" si="22"/>
        <v>45</v>
      </c>
      <c r="F52" s="88" t="str">
        <f t="shared" si="10"/>
        <v>35</v>
      </c>
      <c r="G52" s="88" t="str">
        <f t="shared" si="11"/>
        <v>34</v>
      </c>
      <c r="H52" s="88" t="str">
        <f t="shared" si="12"/>
        <v>38</v>
      </c>
      <c r="I52" s="88" t="str">
        <f t="shared" si="13"/>
        <v>41</v>
      </c>
      <c r="J52" s="88" t="str">
        <f t="shared" si="14"/>
        <v>35</v>
      </c>
      <c r="K52" s="88" t="str">
        <f t="shared" si="15"/>
        <v>35</v>
      </c>
      <c r="L52" s="122" t="str">
        <f t="shared" si="16"/>
        <v>26.235</v>
      </c>
      <c r="M52" s="122" t="str">
        <f t="shared" si="17"/>
        <v>26.236</v>
      </c>
      <c r="N52" s="90" t="str">
        <f t="shared" si="18"/>
        <v>21.583</v>
      </c>
      <c r="O52" s="131">
        <v>26.23597</v>
      </c>
      <c r="P52" s="122" t="str">
        <f t="shared" si="19"/>
        <v>0.001</v>
      </c>
      <c r="Q52" s="90" t="str">
        <f t="shared" si="20"/>
        <v>14.914</v>
      </c>
      <c r="R52" s="122" t="str">
        <f t="shared" si="21"/>
        <v>0.001</v>
      </c>
      <c r="S52" s="87" t="s">
        <v>84</v>
      </c>
      <c r="T52" s="90">
        <v>46092.64</v>
      </c>
      <c r="U52" s="90">
        <v>210520.3</v>
      </c>
      <c r="V52" s="87"/>
      <c r="W52" s="103"/>
      <c r="X52" s="82"/>
      <c r="Y52" s="34"/>
      <c r="Z52" s="34"/>
      <c r="AA52" s="34"/>
      <c r="AB52" s="104"/>
      <c r="AC52" s="104"/>
      <c r="AD52" s="34"/>
    </row>
    <row r="53" ht="15.75" customHeight="1">
      <c r="A53" s="87" t="str">
        <f t="shared" si="6"/>
        <v>CM40</v>
      </c>
      <c r="B53" s="88" t="str">
        <f t="shared" si="7"/>
        <v>321</v>
      </c>
      <c r="C53" s="88" t="str">
        <f t="shared" si="8"/>
        <v>57</v>
      </c>
      <c r="D53" s="88" t="str">
        <f t="shared" si="9"/>
        <v>16</v>
      </c>
      <c r="E53" s="120" t="str">
        <f t="shared" si="22"/>
        <v>46</v>
      </c>
      <c r="F53" s="88" t="str">
        <f t="shared" si="10"/>
        <v>322</v>
      </c>
      <c r="G53" s="88" t="str">
        <f t="shared" si="11"/>
        <v>321</v>
      </c>
      <c r="H53" s="88" t="str">
        <f t="shared" si="12"/>
        <v>58</v>
      </c>
      <c r="I53" s="88" t="str">
        <f t="shared" si="13"/>
        <v>2</v>
      </c>
      <c r="J53" s="88" t="str">
        <f t="shared" si="14"/>
        <v>322</v>
      </c>
      <c r="K53" s="88" t="str">
        <f t="shared" si="15"/>
        <v>-38</v>
      </c>
      <c r="L53" s="122" t="str">
        <f t="shared" si="16"/>
        <v>12.271</v>
      </c>
      <c r="M53" s="122" t="str">
        <f t="shared" si="17"/>
        <v>12.270</v>
      </c>
      <c r="N53" s="90" t="str">
        <f t="shared" si="18"/>
        <v>9.665</v>
      </c>
      <c r="O53" s="131">
        <v>12.26991</v>
      </c>
      <c r="P53" s="122" t="str">
        <f t="shared" si="19"/>
        <v>0.000</v>
      </c>
      <c r="Q53" s="90" t="str">
        <f t="shared" si="20"/>
        <v>-7.560</v>
      </c>
      <c r="R53" s="122" t="str">
        <f t="shared" si="21"/>
        <v>0.001</v>
      </c>
      <c r="S53" s="87" t="s">
        <v>85</v>
      </c>
      <c r="T53" s="90">
        <v>46102.305</v>
      </c>
      <c r="U53" s="90">
        <v>210512.741</v>
      </c>
      <c r="V53" s="87"/>
      <c r="W53" s="103"/>
      <c r="X53" s="82"/>
      <c r="Y53" s="34"/>
      <c r="Z53" s="34"/>
      <c r="AA53" s="34"/>
      <c r="AB53" s="104"/>
      <c r="AC53" s="104"/>
      <c r="AD53" s="34"/>
    </row>
    <row r="54" ht="15.75" customHeight="1">
      <c r="A54" s="87" t="str">
        <f t="shared" si="6"/>
        <v>CM41</v>
      </c>
      <c r="B54" s="88" t="str">
        <f t="shared" si="7"/>
        <v>216</v>
      </c>
      <c r="C54" s="88" t="str">
        <f t="shared" si="8"/>
        <v>48</v>
      </c>
      <c r="D54" s="88" t="str">
        <f t="shared" si="9"/>
        <v>6</v>
      </c>
      <c r="E54" s="120" t="str">
        <f t="shared" si="22"/>
        <v>47</v>
      </c>
      <c r="F54" s="88" t="str">
        <f t="shared" si="10"/>
        <v>217</v>
      </c>
      <c r="G54" s="88" t="str">
        <f t="shared" si="11"/>
        <v>216</v>
      </c>
      <c r="H54" s="88" t="str">
        <f t="shared" si="12"/>
        <v>48</v>
      </c>
      <c r="I54" s="88" t="str">
        <f t="shared" si="13"/>
        <v>53</v>
      </c>
      <c r="J54" s="88" t="str">
        <f t="shared" si="14"/>
        <v>217</v>
      </c>
      <c r="K54" s="88" t="str">
        <f t="shared" si="15"/>
        <v>-143</v>
      </c>
      <c r="L54" s="122" t="str">
        <f t="shared" si="16"/>
        <v>29.516</v>
      </c>
      <c r="M54" s="122" t="str">
        <f t="shared" si="17"/>
        <v>29.515</v>
      </c>
      <c r="N54" s="90" t="str">
        <f t="shared" si="18"/>
        <v>-23.630</v>
      </c>
      <c r="O54" s="131">
        <v>29.51481</v>
      </c>
      <c r="P54" s="122" t="str">
        <f t="shared" si="19"/>
        <v>0.001</v>
      </c>
      <c r="Q54" s="90" t="str">
        <f t="shared" si="20"/>
        <v>-17.687</v>
      </c>
      <c r="R54" s="122" t="str">
        <f t="shared" si="21"/>
        <v>0.001</v>
      </c>
      <c r="S54" s="87" t="s">
        <v>86</v>
      </c>
      <c r="T54" s="90">
        <v>46078.676</v>
      </c>
      <c r="U54" s="90">
        <v>210495.055</v>
      </c>
      <c r="V54" s="87"/>
      <c r="W54" s="103"/>
      <c r="X54" s="82"/>
      <c r="Y54" s="34"/>
      <c r="Z54" s="34"/>
      <c r="AA54" s="34"/>
      <c r="AB54" s="104"/>
      <c r="AC54" s="104"/>
      <c r="AD54" s="34"/>
    </row>
    <row r="55" ht="15.75" customHeight="1">
      <c r="A55" s="87" t="str">
        <f t="shared" si="6"/>
        <v>CM42</v>
      </c>
      <c r="B55" s="88" t="str">
        <f t="shared" si="7"/>
        <v>312</v>
      </c>
      <c r="C55" s="88" t="str">
        <f t="shared" si="8"/>
        <v>44</v>
      </c>
      <c r="D55" s="88" t="str">
        <f t="shared" si="9"/>
        <v>54</v>
      </c>
      <c r="E55" s="120" t="str">
        <f t="shared" si="22"/>
        <v>48</v>
      </c>
      <c r="F55" s="88" t="str">
        <f t="shared" si="10"/>
        <v>313</v>
      </c>
      <c r="G55" s="88" t="str">
        <f t="shared" si="11"/>
        <v>312</v>
      </c>
      <c r="H55" s="88" t="str">
        <f t="shared" si="12"/>
        <v>45</v>
      </c>
      <c r="I55" s="88" t="str">
        <f t="shared" si="13"/>
        <v>42</v>
      </c>
      <c r="J55" s="88" t="str">
        <f t="shared" si="14"/>
        <v>313</v>
      </c>
      <c r="K55" s="88" t="str">
        <f t="shared" si="15"/>
        <v>-47</v>
      </c>
      <c r="L55" s="122" t="str">
        <f t="shared" si="16"/>
        <v>29.618</v>
      </c>
      <c r="M55" s="122" t="str">
        <f t="shared" si="17"/>
        <v>29.618</v>
      </c>
      <c r="N55" s="90" t="str">
        <f t="shared" si="18"/>
        <v>20.109</v>
      </c>
      <c r="O55" s="131">
        <v>29.61779</v>
      </c>
      <c r="P55" s="122" t="str">
        <f t="shared" si="19"/>
        <v>0.001</v>
      </c>
      <c r="Q55" s="90" t="str">
        <f t="shared" si="20"/>
        <v>-21.745</v>
      </c>
      <c r="R55" s="122" t="str">
        <f t="shared" si="21"/>
        <v>0.001</v>
      </c>
      <c r="S55" s="87" t="s">
        <v>87</v>
      </c>
      <c r="T55" s="90">
        <v>46098.786</v>
      </c>
      <c r="U55" s="90">
        <v>210473.31100000002</v>
      </c>
      <c r="V55" s="87"/>
      <c r="W55" s="103"/>
      <c r="X55" s="82"/>
      <c r="Y55" s="34"/>
      <c r="Z55" s="34"/>
      <c r="AA55" s="34"/>
      <c r="AB55" s="104"/>
      <c r="AC55" s="104"/>
      <c r="AD55" s="34"/>
    </row>
    <row r="56" ht="15.75" customHeight="1">
      <c r="A56" s="87" t="str">
        <f t="shared" si="6"/>
        <v>CM43</v>
      </c>
      <c r="B56" s="88" t="str">
        <f t="shared" si="7"/>
        <v>34</v>
      </c>
      <c r="C56" s="88" t="str">
        <f t="shared" si="8"/>
        <v>43</v>
      </c>
      <c r="D56" s="88" t="str">
        <f t="shared" si="9"/>
        <v>38</v>
      </c>
      <c r="E56" s="120" t="str">
        <f t="shared" si="22"/>
        <v>50</v>
      </c>
      <c r="F56" s="88" t="str">
        <f t="shared" si="10"/>
        <v>35</v>
      </c>
      <c r="G56" s="88" t="str">
        <f t="shared" si="11"/>
        <v>34</v>
      </c>
      <c r="H56" s="88" t="str">
        <f t="shared" si="12"/>
        <v>44</v>
      </c>
      <c r="I56" s="88" t="str">
        <f t="shared" si="13"/>
        <v>28</v>
      </c>
      <c r="J56" s="88" t="str">
        <f t="shared" si="14"/>
        <v>35</v>
      </c>
      <c r="K56" s="88" t="str">
        <f t="shared" si="15"/>
        <v>35</v>
      </c>
      <c r="L56" s="122" t="str">
        <f t="shared" si="16"/>
        <v>1.104</v>
      </c>
      <c r="M56" s="122" t="str">
        <f t="shared" si="17"/>
        <v>1.104</v>
      </c>
      <c r="N56" s="90" t="str">
        <f t="shared" si="18"/>
        <v>0.907</v>
      </c>
      <c r="O56" s="131">
        <v>1.10376</v>
      </c>
      <c r="P56" s="122" t="str">
        <f t="shared" si="19"/>
        <v>0.000</v>
      </c>
      <c r="Q56" s="90" t="str">
        <f t="shared" si="20"/>
        <v>0.629</v>
      </c>
      <c r="R56" s="122" t="str">
        <f t="shared" si="21"/>
        <v>0.000</v>
      </c>
      <c r="S56" s="87" t="s">
        <v>88</v>
      </c>
      <c r="T56" s="90">
        <v>46099.693</v>
      </c>
      <c r="U56" s="90">
        <v>210473.94</v>
      </c>
      <c r="V56" s="87"/>
      <c r="W56" s="103"/>
      <c r="X56" s="82"/>
      <c r="Y56" s="34"/>
      <c r="Z56" s="34"/>
      <c r="AA56" s="34"/>
      <c r="AB56" s="104"/>
      <c r="AC56" s="104"/>
      <c r="AD56" s="34"/>
    </row>
    <row r="57" ht="15.75" customHeight="1">
      <c r="A57" s="87" t="str">
        <f t="shared" si="6"/>
        <v>CM44</v>
      </c>
      <c r="B57" s="88" t="str">
        <f t="shared" si="7"/>
        <v>300</v>
      </c>
      <c r="C57" s="88" t="str">
        <f t="shared" si="8"/>
        <v>35</v>
      </c>
      <c r="D57" s="88" t="str">
        <f t="shared" si="9"/>
        <v>48</v>
      </c>
      <c r="E57" s="120" t="str">
        <f t="shared" si="22"/>
        <v>51</v>
      </c>
      <c r="F57" s="88" t="str">
        <f t="shared" si="10"/>
        <v>301</v>
      </c>
      <c r="G57" s="88" t="str">
        <f t="shared" si="11"/>
        <v>300</v>
      </c>
      <c r="H57" s="88" t="str">
        <f t="shared" si="12"/>
        <v>36</v>
      </c>
      <c r="I57" s="88" t="str">
        <f t="shared" si="13"/>
        <v>39</v>
      </c>
      <c r="J57" s="88" t="str">
        <f t="shared" si="14"/>
        <v>301</v>
      </c>
      <c r="K57" s="88" t="str">
        <f t="shared" si="15"/>
        <v>-59</v>
      </c>
      <c r="L57" s="122" t="str">
        <f t="shared" si="16"/>
        <v>19.733</v>
      </c>
      <c r="M57" s="122" t="str">
        <f t="shared" si="17"/>
        <v>19.732</v>
      </c>
      <c r="N57" s="90" t="str">
        <f t="shared" si="18"/>
        <v>10.048</v>
      </c>
      <c r="O57" s="131">
        <v>19.7349</v>
      </c>
      <c r="P57" s="122" t="str">
        <f t="shared" si="19"/>
        <v>0.001</v>
      </c>
      <c r="Q57" s="90" t="str">
        <f t="shared" si="20"/>
        <v>-16.983</v>
      </c>
      <c r="R57" s="122" t="str">
        <f t="shared" si="21"/>
        <v>0.001</v>
      </c>
      <c r="S57" s="87" t="s">
        <v>89</v>
      </c>
      <c r="T57" s="90">
        <v>46109.742</v>
      </c>
      <c r="U57" s="90">
        <v>210456.958</v>
      </c>
      <c r="V57" s="87"/>
      <c r="W57" s="103"/>
      <c r="X57" s="82"/>
      <c r="Y57" s="34"/>
      <c r="Z57" s="34"/>
      <c r="AA57" s="34"/>
      <c r="AB57" s="104"/>
      <c r="AC57" s="104"/>
      <c r="AD57" s="34"/>
    </row>
    <row r="58" ht="15.75" customHeight="1">
      <c r="A58" s="87" t="str">
        <f t="shared" si="6"/>
        <v>CM45</v>
      </c>
      <c r="B58" s="88" t="str">
        <f t="shared" si="7"/>
        <v>305</v>
      </c>
      <c r="C58" s="88" t="str">
        <f t="shared" si="8"/>
        <v>53</v>
      </c>
      <c r="D58" s="88" t="str">
        <f t="shared" si="9"/>
        <v>25</v>
      </c>
      <c r="E58" s="120" t="str">
        <f t="shared" si="22"/>
        <v>52</v>
      </c>
      <c r="F58" s="88" t="str">
        <f t="shared" si="10"/>
        <v>306</v>
      </c>
      <c r="G58" s="88" t="str">
        <f t="shared" si="11"/>
        <v>305</v>
      </c>
      <c r="H58" s="88" t="str">
        <f t="shared" si="12"/>
        <v>54</v>
      </c>
      <c r="I58" s="88" t="str">
        <f t="shared" si="13"/>
        <v>17</v>
      </c>
      <c r="J58" s="88" t="str">
        <f t="shared" si="14"/>
        <v>306</v>
      </c>
      <c r="K58" s="88" t="str">
        <f t="shared" si="15"/>
        <v>-54</v>
      </c>
      <c r="L58" s="122" t="str">
        <f t="shared" si="16"/>
        <v>13.321</v>
      </c>
      <c r="M58" s="122" t="str">
        <f t="shared" si="17"/>
        <v>13.320</v>
      </c>
      <c r="N58" s="90" t="str">
        <f t="shared" si="18"/>
        <v>7.812</v>
      </c>
      <c r="O58" s="131">
        <v>13.32154</v>
      </c>
      <c r="P58" s="122" t="str">
        <f t="shared" si="19"/>
        <v>0.000</v>
      </c>
      <c r="Q58" s="90" t="str">
        <f t="shared" si="20"/>
        <v>-10.790</v>
      </c>
      <c r="R58" s="122" t="str">
        <f t="shared" si="21"/>
        <v>0.001</v>
      </c>
      <c r="S58" s="87" t="s">
        <v>90</v>
      </c>
      <c r="T58" s="90">
        <v>46117.554</v>
      </c>
      <c r="U58" s="90">
        <v>210446.169</v>
      </c>
      <c r="V58" s="87"/>
      <c r="W58" s="132"/>
      <c r="X58" s="82"/>
      <c r="Y58" s="34"/>
      <c r="Z58" s="34"/>
      <c r="AA58" s="34"/>
      <c r="AB58" s="104"/>
      <c r="AC58" s="104"/>
      <c r="AD58" s="34"/>
    </row>
    <row r="59" ht="15.75" customHeight="1">
      <c r="A59" s="87" t="str">
        <f t="shared" si="6"/>
        <v>CM46</v>
      </c>
      <c r="B59" s="88" t="str">
        <f t="shared" si="7"/>
        <v>312</v>
      </c>
      <c r="C59" s="88" t="str">
        <f t="shared" si="8"/>
        <v>57</v>
      </c>
      <c r="D59" s="88" t="str">
        <f t="shared" si="9"/>
        <v>19</v>
      </c>
      <c r="E59" s="120" t="str">
        <f t="shared" si="22"/>
        <v>53</v>
      </c>
      <c r="F59" s="88" t="str">
        <f t="shared" si="10"/>
        <v>313</v>
      </c>
      <c r="G59" s="88" t="str">
        <f t="shared" si="11"/>
        <v>312</v>
      </c>
      <c r="H59" s="88" t="str">
        <f t="shared" si="12"/>
        <v>58</v>
      </c>
      <c r="I59" s="88" t="str">
        <f t="shared" si="13"/>
        <v>12</v>
      </c>
      <c r="J59" s="88" t="str">
        <f t="shared" si="14"/>
        <v>313</v>
      </c>
      <c r="K59" s="88" t="str">
        <f t="shared" si="15"/>
        <v>-47</v>
      </c>
      <c r="L59" s="122" t="str">
        <f t="shared" si="16"/>
        <v>11.398</v>
      </c>
      <c r="M59" s="122" t="str">
        <f t="shared" si="17"/>
        <v>11.397</v>
      </c>
      <c r="N59" s="90" t="str">
        <f t="shared" si="18"/>
        <v>7.769</v>
      </c>
      <c r="O59" s="131">
        <v>11.39804</v>
      </c>
      <c r="P59" s="122" t="str">
        <f t="shared" si="19"/>
        <v>0.000</v>
      </c>
      <c r="Q59" s="90" t="str">
        <f t="shared" si="20"/>
        <v>-8.340</v>
      </c>
      <c r="R59" s="122" t="str">
        <f t="shared" si="21"/>
        <v>0.001</v>
      </c>
      <c r="S59" s="87" t="s">
        <v>91</v>
      </c>
      <c r="T59" s="90">
        <v>46125.323</v>
      </c>
      <c r="U59" s="90">
        <v>210437.83000000002</v>
      </c>
      <c r="V59" s="87"/>
      <c r="W59" s="103"/>
      <c r="X59" s="82"/>
      <c r="Y59" s="34"/>
      <c r="Z59" s="34"/>
      <c r="AA59" s="34"/>
      <c r="AB59" s="104"/>
      <c r="AC59" s="104"/>
      <c r="AD59" s="34"/>
    </row>
    <row r="60" ht="15.75" customHeight="1">
      <c r="A60" s="87" t="str">
        <f t="shared" si="6"/>
        <v>CM47</v>
      </c>
      <c r="B60" s="88" t="str">
        <f t="shared" si="7"/>
        <v>43</v>
      </c>
      <c r="C60" s="88" t="str">
        <f t="shared" si="8"/>
        <v>23</v>
      </c>
      <c r="D60" s="88" t="str">
        <f t="shared" si="9"/>
        <v>0</v>
      </c>
      <c r="E60" s="120" t="str">
        <f t="shared" si="22"/>
        <v>54</v>
      </c>
      <c r="F60" s="88" t="str">
        <f t="shared" si="10"/>
        <v>43</v>
      </c>
      <c r="G60" s="88" t="str">
        <f t="shared" si="11"/>
        <v>43</v>
      </c>
      <c r="H60" s="88" t="str">
        <f t="shared" si="12"/>
        <v>23</v>
      </c>
      <c r="I60" s="88" t="str">
        <f t="shared" si="13"/>
        <v>54</v>
      </c>
      <c r="J60" s="88" t="str">
        <f t="shared" si="14"/>
        <v>43</v>
      </c>
      <c r="K60" s="88" t="str">
        <f t="shared" si="15"/>
        <v>43</v>
      </c>
      <c r="L60" s="122" t="str">
        <f t="shared" si="16"/>
        <v>11.764</v>
      </c>
      <c r="M60" s="122" t="str">
        <f t="shared" si="17"/>
        <v>11.765</v>
      </c>
      <c r="N60" s="90" t="str">
        <f t="shared" si="18"/>
        <v>8.548</v>
      </c>
      <c r="O60" s="131">
        <v>11.76097</v>
      </c>
      <c r="P60" s="122" t="str">
        <f t="shared" si="19"/>
        <v>0.000</v>
      </c>
      <c r="Q60" s="90" t="str">
        <f t="shared" si="20"/>
        <v>8.083</v>
      </c>
      <c r="R60" s="122" t="str">
        <f t="shared" si="21"/>
        <v>0.001</v>
      </c>
      <c r="S60" s="87" t="s">
        <v>92</v>
      </c>
      <c r="T60" s="90">
        <v>46133.871</v>
      </c>
      <c r="U60" s="90">
        <v>210445.914</v>
      </c>
      <c r="V60" s="87"/>
      <c r="W60" s="132"/>
      <c r="X60" s="82"/>
      <c r="Y60" s="34"/>
      <c r="Z60" s="34"/>
      <c r="AA60" s="34"/>
      <c r="AB60" s="104"/>
      <c r="AC60" s="104"/>
      <c r="AD60" s="34"/>
    </row>
    <row r="61" ht="15.75" customHeight="1">
      <c r="A61" s="87" t="str">
        <f t="shared" si="6"/>
        <v>CM48</v>
      </c>
      <c r="B61" s="88" t="str">
        <f t="shared" si="7"/>
        <v>48</v>
      </c>
      <c r="C61" s="88" t="str">
        <f t="shared" si="8"/>
        <v>41</v>
      </c>
      <c r="D61" s="88" t="str">
        <f t="shared" si="9"/>
        <v>12</v>
      </c>
      <c r="E61" s="120" t="str">
        <f t="shared" si="22"/>
        <v>55</v>
      </c>
      <c r="F61" s="88" t="str">
        <f t="shared" si="10"/>
        <v>49</v>
      </c>
      <c r="G61" s="88" t="str">
        <f t="shared" si="11"/>
        <v>48</v>
      </c>
      <c r="H61" s="88" t="str">
        <f t="shared" si="12"/>
        <v>42</v>
      </c>
      <c r="I61" s="88" t="str">
        <f t="shared" si="13"/>
        <v>7</v>
      </c>
      <c r="J61" s="88" t="str">
        <f t="shared" si="14"/>
        <v>49</v>
      </c>
      <c r="K61" s="88" t="str">
        <f t="shared" si="15"/>
        <v>49</v>
      </c>
      <c r="L61" s="122" t="str">
        <f t="shared" si="16"/>
        <v>40.159</v>
      </c>
      <c r="M61" s="122" t="str">
        <f t="shared" si="17"/>
        <v>40.161</v>
      </c>
      <c r="N61" s="90" t="str">
        <f t="shared" si="18"/>
        <v>26.504</v>
      </c>
      <c r="O61" s="131">
        <v>40.15983</v>
      </c>
      <c r="P61" s="122" t="str">
        <f t="shared" si="19"/>
        <v>0.001</v>
      </c>
      <c r="Q61" s="90" t="str">
        <f t="shared" si="20"/>
        <v>30.171</v>
      </c>
      <c r="R61" s="122" t="str">
        <f t="shared" si="21"/>
        <v>0.002</v>
      </c>
      <c r="S61" s="87" t="s">
        <v>93</v>
      </c>
      <c r="T61" s="90">
        <v>46160.376</v>
      </c>
      <c r="U61" s="90">
        <v>210476.087</v>
      </c>
      <c r="V61" s="87"/>
      <c r="W61" s="103"/>
      <c r="X61" s="82"/>
      <c r="Y61" s="34"/>
      <c r="Z61" s="34"/>
      <c r="AA61" s="34"/>
      <c r="AB61" s="104"/>
      <c r="AC61" s="104"/>
      <c r="AD61" s="34"/>
    </row>
    <row r="62" ht="15.75" customHeight="1">
      <c r="A62" s="87" t="str">
        <f t="shared" si="6"/>
        <v>CM49</v>
      </c>
      <c r="B62" s="88" t="str">
        <f t="shared" si="7"/>
        <v>155</v>
      </c>
      <c r="C62" s="88" t="str">
        <f t="shared" si="8"/>
        <v>50</v>
      </c>
      <c r="D62" s="88" t="str">
        <f t="shared" si="9"/>
        <v>40</v>
      </c>
      <c r="E62" s="120" t="str">
        <f t="shared" si="22"/>
        <v>56</v>
      </c>
      <c r="F62" s="88" t="str">
        <f t="shared" si="10"/>
        <v>156</v>
      </c>
      <c r="G62" s="88" t="str">
        <f t="shared" si="11"/>
        <v>155</v>
      </c>
      <c r="H62" s="88" t="str">
        <f t="shared" si="12"/>
        <v>51</v>
      </c>
      <c r="I62" s="88" t="str">
        <f t="shared" si="13"/>
        <v>36</v>
      </c>
      <c r="J62" s="88" t="str">
        <f t="shared" si="14"/>
        <v>156</v>
      </c>
      <c r="K62" s="88" t="str">
        <f t="shared" si="15"/>
        <v>156</v>
      </c>
      <c r="L62" s="122" t="str">
        <f t="shared" si="16"/>
        <v>8.942</v>
      </c>
      <c r="M62" s="122" t="str">
        <f t="shared" si="17"/>
        <v>8.942</v>
      </c>
      <c r="N62" s="90" t="str">
        <f t="shared" si="18"/>
        <v>-8.160</v>
      </c>
      <c r="O62" s="131">
        <v>8.94158</v>
      </c>
      <c r="P62" s="122" t="str">
        <f t="shared" si="19"/>
        <v>0.000</v>
      </c>
      <c r="Q62" s="90" t="str">
        <f t="shared" si="20"/>
        <v>3.657</v>
      </c>
      <c r="R62" s="122" t="str">
        <f t="shared" si="21"/>
        <v>0.000</v>
      </c>
      <c r="S62" s="87" t="s">
        <v>94</v>
      </c>
      <c r="T62" s="90">
        <v>46152.216</v>
      </c>
      <c r="U62" s="90">
        <v>210479.744</v>
      </c>
      <c r="V62" s="87"/>
      <c r="W62" s="103"/>
      <c r="X62" s="82"/>
      <c r="Y62" s="34"/>
      <c r="Z62" s="34"/>
      <c r="AA62" s="34"/>
      <c r="AB62" s="104"/>
      <c r="AC62" s="104"/>
      <c r="AD62" s="34"/>
    </row>
    <row r="63" ht="15.75" customHeight="1">
      <c r="A63" s="87" t="str">
        <f t="shared" si="6"/>
        <v>CM50</v>
      </c>
      <c r="B63" s="88" t="str">
        <f t="shared" si="7"/>
        <v>142</v>
      </c>
      <c r="C63" s="88" t="str">
        <f t="shared" si="8"/>
        <v>26</v>
      </c>
      <c r="D63" s="88" t="str">
        <f t="shared" si="9"/>
        <v>19</v>
      </c>
      <c r="E63" s="120" t="str">
        <f t="shared" si="22"/>
        <v>57</v>
      </c>
      <c r="F63" s="88" t="str">
        <f t="shared" si="10"/>
        <v>142</v>
      </c>
      <c r="G63" s="88" t="str">
        <f t="shared" si="11"/>
        <v>142</v>
      </c>
      <c r="H63" s="88" t="str">
        <f t="shared" si="12"/>
        <v>27</v>
      </c>
      <c r="I63" s="88" t="str">
        <f t="shared" si="13"/>
        <v>16</v>
      </c>
      <c r="J63" s="88" t="str">
        <f t="shared" si="14"/>
        <v>142</v>
      </c>
      <c r="K63" s="88" t="str">
        <f t="shared" si="15"/>
        <v>142</v>
      </c>
      <c r="L63" s="122" t="str">
        <f t="shared" si="16"/>
        <v>20.657</v>
      </c>
      <c r="M63" s="122" t="str">
        <f t="shared" si="17"/>
        <v>20.656</v>
      </c>
      <c r="N63" s="90" t="str">
        <f t="shared" si="18"/>
        <v>-16.378</v>
      </c>
      <c r="O63" s="131">
        <v>20.65621</v>
      </c>
      <c r="P63" s="122" t="str">
        <f t="shared" si="19"/>
        <v>0.001</v>
      </c>
      <c r="Q63" s="90" t="str">
        <f t="shared" si="20"/>
        <v>12.588</v>
      </c>
      <c r="R63" s="122" t="str">
        <f t="shared" si="21"/>
        <v>0.001</v>
      </c>
      <c r="S63" s="87" t="s">
        <v>95</v>
      </c>
      <c r="T63" s="90">
        <v>46135.839</v>
      </c>
      <c r="U63" s="90">
        <v>210492.333</v>
      </c>
      <c r="V63" s="87"/>
      <c r="W63" s="132"/>
      <c r="X63" s="82"/>
      <c r="Y63" s="34"/>
      <c r="Z63" s="34"/>
      <c r="AA63" s="34"/>
      <c r="AB63" s="104"/>
      <c r="AC63" s="104"/>
      <c r="AD63" s="34"/>
    </row>
    <row r="64" ht="15.75" customHeight="1">
      <c r="A64" s="87" t="str">
        <f t="shared" si="6"/>
        <v>CM51</v>
      </c>
      <c r="B64" s="88" t="str">
        <f t="shared" si="7"/>
        <v>142</v>
      </c>
      <c r="C64" s="88" t="str">
        <f t="shared" si="8"/>
        <v>14</v>
      </c>
      <c r="D64" s="88" t="str">
        <f t="shared" si="9"/>
        <v>2</v>
      </c>
      <c r="E64" s="120" t="str">
        <f t="shared" si="22"/>
        <v>58</v>
      </c>
      <c r="F64" s="88" t="str">
        <f t="shared" si="10"/>
        <v>142</v>
      </c>
      <c r="G64" s="88" t="str">
        <f t="shared" si="11"/>
        <v>142</v>
      </c>
      <c r="H64" s="88" t="str">
        <f t="shared" si="12"/>
        <v>15</v>
      </c>
      <c r="I64" s="88" t="str">
        <f t="shared" si="13"/>
        <v>0</v>
      </c>
      <c r="J64" s="88" t="str">
        <f t="shared" si="14"/>
        <v>142</v>
      </c>
      <c r="K64" s="88" t="str">
        <f t="shared" si="15"/>
        <v>142</v>
      </c>
      <c r="L64" s="122" t="str">
        <f t="shared" si="16"/>
        <v>44.169</v>
      </c>
      <c r="M64" s="122" t="str">
        <f t="shared" si="17"/>
        <v>44.169</v>
      </c>
      <c r="N64" s="90" t="str">
        <f t="shared" si="18"/>
        <v>-34.924</v>
      </c>
      <c r="O64" s="131">
        <v>44.16919</v>
      </c>
      <c r="P64" s="122" t="str">
        <f t="shared" si="19"/>
        <v>0.001</v>
      </c>
      <c r="Q64" s="90" t="str">
        <f t="shared" si="20"/>
        <v>27.041</v>
      </c>
      <c r="R64" s="122" t="str">
        <f t="shared" si="21"/>
        <v>0.002</v>
      </c>
      <c r="S64" s="87" t="s">
        <v>96</v>
      </c>
      <c r="T64" s="90">
        <v>46100.916</v>
      </c>
      <c r="U64" s="90">
        <v>210519.376</v>
      </c>
      <c r="V64" s="87"/>
      <c r="W64" s="103"/>
      <c r="X64" s="82"/>
      <c r="Y64" s="34"/>
      <c r="Z64" s="34"/>
      <c r="AA64" s="34"/>
      <c r="AB64" s="104"/>
      <c r="AC64" s="104"/>
      <c r="AD64" s="34"/>
    </row>
    <row r="65" ht="15.75" customHeight="1">
      <c r="A65" s="87" t="str">
        <f t="shared" si="6"/>
        <v>CM52</v>
      </c>
      <c r="B65" s="88" t="str">
        <f t="shared" si="7"/>
        <v>142</v>
      </c>
      <c r="C65" s="88" t="str">
        <f t="shared" si="8"/>
        <v>48</v>
      </c>
      <c r="D65" s="88" t="str">
        <f t="shared" si="9"/>
        <v>18</v>
      </c>
      <c r="E65" s="120" t="str">
        <f t="shared" si="22"/>
        <v>59</v>
      </c>
      <c r="F65" s="88" t="str">
        <f t="shared" si="10"/>
        <v>143</v>
      </c>
      <c r="G65" s="88" t="str">
        <f t="shared" si="11"/>
        <v>142</v>
      </c>
      <c r="H65" s="88" t="str">
        <f t="shared" si="12"/>
        <v>49</v>
      </c>
      <c r="I65" s="88" t="str">
        <f t="shared" si="13"/>
        <v>17</v>
      </c>
      <c r="J65" s="88" t="str">
        <f t="shared" si="14"/>
        <v>143</v>
      </c>
      <c r="K65" s="88" t="str">
        <f t="shared" si="15"/>
        <v>143</v>
      </c>
      <c r="L65" s="122" t="str">
        <f t="shared" si="16"/>
        <v>29.586</v>
      </c>
      <c r="M65" s="122" t="str">
        <f t="shared" si="17"/>
        <v>29.586</v>
      </c>
      <c r="N65" s="90" t="str">
        <f t="shared" si="18"/>
        <v>-23.573</v>
      </c>
      <c r="O65" s="131">
        <v>29.58623</v>
      </c>
      <c r="P65" s="122" t="str">
        <f t="shared" si="19"/>
        <v>0.001</v>
      </c>
      <c r="Q65" s="90" t="str">
        <f t="shared" si="20"/>
        <v>17.879</v>
      </c>
      <c r="R65" s="122" t="str">
        <f t="shared" si="21"/>
        <v>0.001</v>
      </c>
      <c r="S65" s="87" t="s">
        <v>97</v>
      </c>
      <c r="T65" s="90">
        <v>46077.344</v>
      </c>
      <c r="U65" s="90">
        <v>210537.256</v>
      </c>
      <c r="V65" s="87"/>
      <c r="W65" s="132"/>
      <c r="X65" s="82"/>
      <c r="Y65" s="34"/>
      <c r="Z65" s="34"/>
      <c r="AA65" s="34"/>
      <c r="AB65" s="104"/>
      <c r="AC65" s="104"/>
      <c r="AD65" s="34"/>
    </row>
    <row r="66" ht="15.75" customHeight="1">
      <c r="A66" s="87" t="str">
        <f t="shared" si="6"/>
        <v>CM53</v>
      </c>
      <c r="B66" s="88" t="str">
        <f t="shared" si="7"/>
        <v>52</v>
      </c>
      <c r="C66" s="88" t="str">
        <f t="shared" si="8"/>
        <v>34</v>
      </c>
      <c r="D66" s="88" t="str">
        <f t="shared" si="9"/>
        <v>1</v>
      </c>
      <c r="E66" s="120" t="str">
        <f t="shared" si="22"/>
        <v>61</v>
      </c>
      <c r="F66" s="88" t="str">
        <f t="shared" si="10"/>
        <v>53</v>
      </c>
      <c r="G66" s="88" t="str">
        <f t="shared" si="11"/>
        <v>52</v>
      </c>
      <c r="H66" s="88" t="str">
        <f t="shared" si="12"/>
        <v>35</v>
      </c>
      <c r="I66" s="88" t="str">
        <f t="shared" si="13"/>
        <v>2</v>
      </c>
      <c r="J66" s="88" t="str">
        <f t="shared" si="14"/>
        <v>53</v>
      </c>
      <c r="K66" s="88" t="str">
        <f t="shared" si="15"/>
        <v>53</v>
      </c>
      <c r="L66" s="122" t="str">
        <f t="shared" si="16"/>
        <v>5.540</v>
      </c>
      <c r="M66" s="122" t="str">
        <f t="shared" si="17"/>
        <v>5.540</v>
      </c>
      <c r="N66" s="90" t="str">
        <f t="shared" si="18"/>
        <v>3.366</v>
      </c>
      <c r="O66" s="131">
        <v>5.53625</v>
      </c>
      <c r="P66" s="122" t="str">
        <f t="shared" si="19"/>
        <v>0.000</v>
      </c>
      <c r="Q66" s="90" t="str">
        <f t="shared" si="20"/>
        <v>4.400</v>
      </c>
      <c r="R66" s="122" t="str">
        <f t="shared" si="21"/>
        <v>0.000</v>
      </c>
      <c r="S66" s="87" t="s">
        <v>98</v>
      </c>
      <c r="T66" s="90">
        <v>46080.71</v>
      </c>
      <c r="U66" s="90">
        <v>210541.656</v>
      </c>
      <c r="V66" s="87"/>
      <c r="W66" s="103"/>
      <c r="X66" s="82"/>
      <c r="Y66" s="34"/>
      <c r="Z66" s="34"/>
      <c r="AA66" s="34"/>
      <c r="AB66" s="104"/>
      <c r="AC66" s="104"/>
      <c r="AD66" s="34"/>
    </row>
    <row r="67" ht="15.75" customHeight="1">
      <c r="A67" s="87" t="str">
        <f t="shared" si="6"/>
        <v>CM54</v>
      </c>
      <c r="B67" s="88" t="str">
        <f t="shared" si="7"/>
        <v>134</v>
      </c>
      <c r="C67" s="88" t="str">
        <f t="shared" si="8"/>
        <v>2</v>
      </c>
      <c r="D67" s="88" t="str">
        <f t="shared" si="9"/>
        <v>43</v>
      </c>
      <c r="E67" s="120" t="str">
        <f t="shared" si="22"/>
        <v>62</v>
      </c>
      <c r="F67" s="88" t="str">
        <f t="shared" si="10"/>
        <v>134</v>
      </c>
      <c r="G67" s="88" t="str">
        <f t="shared" si="11"/>
        <v>134</v>
      </c>
      <c r="H67" s="88" t="str">
        <f t="shared" si="12"/>
        <v>3</v>
      </c>
      <c r="I67" s="88" t="str">
        <f t="shared" si="13"/>
        <v>45</v>
      </c>
      <c r="J67" s="88" t="str">
        <f t="shared" si="14"/>
        <v>134</v>
      </c>
      <c r="K67" s="88" t="str">
        <f t="shared" si="15"/>
        <v>134</v>
      </c>
      <c r="L67" s="122" t="str">
        <f t="shared" si="16"/>
        <v>32.930</v>
      </c>
      <c r="M67" s="122" t="str">
        <f t="shared" si="17"/>
        <v>32.930</v>
      </c>
      <c r="N67" s="90" t="str">
        <f t="shared" si="18"/>
        <v>-22.901</v>
      </c>
      <c r="O67" s="131">
        <v>32.92941</v>
      </c>
      <c r="P67" s="122" t="str">
        <f t="shared" si="19"/>
        <v>0.001</v>
      </c>
      <c r="Q67" s="90" t="str">
        <f t="shared" si="20"/>
        <v>23.663</v>
      </c>
      <c r="R67" s="122" t="str">
        <f t="shared" si="21"/>
        <v>0.001</v>
      </c>
      <c r="S67" s="87" t="s">
        <v>99</v>
      </c>
      <c r="T67" s="90">
        <v>46057.81</v>
      </c>
      <c r="U67" s="90">
        <v>210565.32</v>
      </c>
      <c r="V67" s="87"/>
      <c r="W67" s="103"/>
      <c r="X67" s="82"/>
      <c r="Y67" s="34"/>
      <c r="Z67" s="34"/>
      <c r="AA67" s="34"/>
      <c r="AB67" s="104"/>
      <c r="AC67" s="104"/>
      <c r="AD67" s="34"/>
    </row>
    <row r="68" ht="15.75" customHeight="1">
      <c r="A68" s="87" t="str">
        <f t="shared" si="6"/>
        <v>CM55</v>
      </c>
      <c r="B68" s="88" t="str">
        <f t="shared" si="7"/>
        <v>178</v>
      </c>
      <c r="C68" s="88" t="str">
        <f t="shared" si="8"/>
        <v>16</v>
      </c>
      <c r="D68" s="88" t="str">
        <f t="shared" si="9"/>
        <v>16</v>
      </c>
      <c r="E68" s="120" t="str">
        <f t="shared" si="22"/>
        <v>63</v>
      </c>
      <c r="F68" s="88" t="str">
        <f t="shared" si="10"/>
        <v>178</v>
      </c>
      <c r="G68" s="88" t="str">
        <f t="shared" si="11"/>
        <v>178</v>
      </c>
      <c r="H68" s="88" t="str">
        <f t="shared" si="12"/>
        <v>17</v>
      </c>
      <c r="I68" s="88" t="str">
        <f t="shared" si="13"/>
        <v>19</v>
      </c>
      <c r="J68" s="88" t="str">
        <f t="shared" si="14"/>
        <v>178</v>
      </c>
      <c r="K68" s="88" t="str">
        <f t="shared" si="15"/>
        <v>178</v>
      </c>
      <c r="L68" s="122" t="str">
        <f t="shared" si="16"/>
        <v>15.570</v>
      </c>
      <c r="M68" s="122" t="str">
        <f t="shared" si="17"/>
        <v>15.570</v>
      </c>
      <c r="N68" s="90" t="str">
        <f t="shared" si="18"/>
        <v>-15.563</v>
      </c>
      <c r="O68" s="131">
        <v>15.57377</v>
      </c>
      <c r="P68" s="122" t="str">
        <f t="shared" si="19"/>
        <v>0.000</v>
      </c>
      <c r="Q68" s="90" t="str">
        <f t="shared" si="20"/>
        <v>0.465</v>
      </c>
      <c r="R68" s="122" t="str">
        <f t="shared" si="21"/>
        <v>0.001</v>
      </c>
      <c r="S68" s="87" t="s">
        <v>100</v>
      </c>
      <c r="T68" s="90">
        <v>46042.246999999996</v>
      </c>
      <c r="U68" s="90">
        <v>210565.786</v>
      </c>
      <c r="V68" s="87"/>
      <c r="W68" s="132"/>
      <c r="X68" s="82"/>
      <c r="Y68" s="34"/>
      <c r="Z68" s="34"/>
      <c r="AA68" s="34"/>
      <c r="AB68" s="104"/>
      <c r="AC68" s="104"/>
      <c r="AD68" s="34"/>
    </row>
    <row r="69" ht="15.75" customHeight="1">
      <c r="A69" s="87" t="str">
        <f t="shared" si="6"/>
        <v>CM56</v>
      </c>
      <c r="B69" s="88" t="str">
        <f t="shared" si="7"/>
        <v>214</v>
      </c>
      <c r="C69" s="88" t="str">
        <f t="shared" si="8"/>
        <v>6</v>
      </c>
      <c r="D69" s="88" t="str">
        <f t="shared" si="9"/>
        <v>58</v>
      </c>
      <c r="E69" s="120" t="str">
        <f t="shared" si="22"/>
        <v>64</v>
      </c>
      <c r="F69" s="88" t="str">
        <f t="shared" si="10"/>
        <v>214</v>
      </c>
      <c r="G69" s="88" t="str">
        <f t="shared" si="11"/>
        <v>214</v>
      </c>
      <c r="H69" s="88" t="str">
        <f t="shared" si="12"/>
        <v>8</v>
      </c>
      <c r="I69" s="88" t="str">
        <f t="shared" si="13"/>
        <v>2</v>
      </c>
      <c r="J69" s="88" t="str">
        <f t="shared" si="14"/>
        <v>214</v>
      </c>
      <c r="K69" s="88" t="str">
        <f t="shared" si="15"/>
        <v>-146</v>
      </c>
      <c r="L69" s="122" t="str">
        <f t="shared" si="16"/>
        <v>66.764</v>
      </c>
      <c r="M69" s="122" t="str">
        <f t="shared" si="17"/>
        <v>66.760</v>
      </c>
      <c r="N69" s="90" t="str">
        <f t="shared" si="18"/>
        <v>-55.262</v>
      </c>
      <c r="O69" s="131">
        <v>66.76016</v>
      </c>
      <c r="P69" s="122" t="str">
        <f t="shared" si="19"/>
        <v>0.002</v>
      </c>
      <c r="Q69" s="90" t="str">
        <f t="shared" si="20"/>
        <v>-37.463</v>
      </c>
      <c r="R69" s="122" t="str">
        <f t="shared" si="21"/>
        <v>0.003</v>
      </c>
      <c r="S69" s="87" t="s">
        <v>101</v>
      </c>
      <c r="T69" s="90">
        <v>45986.987</v>
      </c>
      <c r="U69" s="90">
        <v>210528.326</v>
      </c>
      <c r="V69" s="87"/>
      <c r="W69" s="103"/>
      <c r="X69" s="82"/>
      <c r="Y69" s="34"/>
      <c r="Z69" s="34"/>
      <c r="AA69" s="34"/>
      <c r="AB69" s="104"/>
      <c r="AC69" s="104"/>
      <c r="AD69" s="34"/>
    </row>
    <row r="70" ht="15.75" customHeight="1">
      <c r="A70" s="87" t="str">
        <f t="shared" si="6"/>
        <v>CM57</v>
      </c>
      <c r="B70" s="88" t="str">
        <f t="shared" si="7"/>
        <v>127</v>
      </c>
      <c r="C70" s="88" t="str">
        <f t="shared" si="8"/>
        <v>0</v>
      </c>
      <c r="D70" s="88" t="str">
        <f t="shared" si="9"/>
        <v>59</v>
      </c>
      <c r="E70" s="120" t="str">
        <f t="shared" si="22"/>
        <v>65</v>
      </c>
      <c r="F70" s="88" t="str">
        <f t="shared" si="10"/>
        <v>127</v>
      </c>
      <c r="G70" s="88" t="str">
        <f t="shared" si="11"/>
        <v>127</v>
      </c>
      <c r="H70" s="88" t="str">
        <f t="shared" si="12"/>
        <v>2</v>
      </c>
      <c r="I70" s="88" t="str">
        <f t="shared" si="13"/>
        <v>4</v>
      </c>
      <c r="J70" s="88" t="str">
        <f t="shared" si="14"/>
        <v>127</v>
      </c>
      <c r="K70" s="88" t="str">
        <f t="shared" si="15"/>
        <v>127</v>
      </c>
      <c r="L70" s="122" t="str">
        <f t="shared" si="16"/>
        <v>34.565</v>
      </c>
      <c r="M70" s="122" t="str">
        <f t="shared" si="17"/>
        <v>34.566</v>
      </c>
      <c r="N70" s="90" t="str">
        <f t="shared" si="18"/>
        <v>-20.818</v>
      </c>
      <c r="O70" s="131">
        <v>34.56355</v>
      </c>
      <c r="P70" s="122" t="str">
        <f t="shared" si="19"/>
        <v>0.001</v>
      </c>
      <c r="Q70" s="90" t="str">
        <f t="shared" si="20"/>
        <v>27.592</v>
      </c>
      <c r="R70" s="122" t="str">
        <f t="shared" si="21"/>
        <v>0.002</v>
      </c>
      <c r="S70" s="87" t="s">
        <v>102</v>
      </c>
      <c r="T70" s="90">
        <v>45966.17</v>
      </c>
      <c r="U70" s="90">
        <v>210555.92</v>
      </c>
      <c r="V70" s="87"/>
      <c r="W70" s="132"/>
      <c r="X70" s="82"/>
      <c r="Y70" s="34"/>
      <c r="Z70" s="34"/>
      <c r="AA70" s="34"/>
      <c r="AB70" s="104"/>
      <c r="AC70" s="104"/>
      <c r="AD70" s="34"/>
    </row>
    <row r="71" ht="15.75" customHeight="1">
      <c r="A71" s="87" t="str">
        <f t="shared" si="6"/>
        <v>CM58</v>
      </c>
      <c r="B71" s="88" t="str">
        <f t="shared" si="7"/>
        <v>117</v>
      </c>
      <c r="C71" s="88" t="str">
        <f t="shared" si="8"/>
        <v>43</v>
      </c>
      <c r="D71" s="88" t="str">
        <f t="shared" si="9"/>
        <v>29</v>
      </c>
      <c r="E71" s="120" t="str">
        <f t="shared" si="22"/>
        <v>66</v>
      </c>
      <c r="F71" s="88" t="str">
        <f t="shared" si="10"/>
        <v>118</v>
      </c>
      <c r="G71" s="88" t="str">
        <f t="shared" si="11"/>
        <v>117</v>
      </c>
      <c r="H71" s="88" t="str">
        <f t="shared" si="12"/>
        <v>44</v>
      </c>
      <c r="I71" s="88" t="str">
        <f t="shared" si="13"/>
        <v>35</v>
      </c>
      <c r="J71" s="88" t="str">
        <f t="shared" si="14"/>
        <v>118</v>
      </c>
      <c r="K71" s="88" t="str">
        <f t="shared" si="15"/>
        <v>118</v>
      </c>
      <c r="L71" s="122" t="str">
        <f t="shared" si="16"/>
        <v>27.604</v>
      </c>
      <c r="M71" s="122" t="str">
        <f t="shared" si="17"/>
        <v>27.605</v>
      </c>
      <c r="N71" s="90" t="str">
        <f t="shared" si="18"/>
        <v>-12.850</v>
      </c>
      <c r="O71" s="131">
        <v>27.60339</v>
      </c>
      <c r="P71" s="122" t="str">
        <f t="shared" si="19"/>
        <v>0.001</v>
      </c>
      <c r="Q71" s="90" t="str">
        <f t="shared" si="20"/>
        <v>24.431</v>
      </c>
      <c r="R71" s="122" t="str">
        <f t="shared" si="21"/>
        <v>0.001</v>
      </c>
      <c r="S71" s="87" t="s">
        <v>103</v>
      </c>
      <c r="T71" s="90">
        <v>45953.320999999996</v>
      </c>
      <c r="U71" s="90">
        <v>210580.352</v>
      </c>
      <c r="V71" s="87"/>
      <c r="W71" s="103"/>
      <c r="X71" s="82"/>
      <c r="Y71" s="34"/>
      <c r="Z71" s="34"/>
      <c r="AA71" s="34"/>
      <c r="AB71" s="104"/>
      <c r="AC71" s="104"/>
      <c r="AD71" s="34"/>
    </row>
    <row r="72" ht="15.75" customHeight="1">
      <c r="A72" s="87" t="str">
        <f t="shared" si="6"/>
        <v>CM59</v>
      </c>
      <c r="B72" s="88" t="str">
        <f t="shared" si="7"/>
        <v>47</v>
      </c>
      <c r="C72" s="88" t="str">
        <f t="shared" si="8"/>
        <v>30</v>
      </c>
      <c r="D72" s="88" t="str">
        <f t="shared" si="9"/>
        <v>55</v>
      </c>
      <c r="E72" s="120" t="str">
        <f t="shared" si="22"/>
        <v>67</v>
      </c>
      <c r="F72" s="88" t="str">
        <f t="shared" si="10"/>
        <v>48</v>
      </c>
      <c r="G72" s="88" t="str">
        <f t="shared" si="11"/>
        <v>47</v>
      </c>
      <c r="H72" s="88" t="str">
        <f t="shared" si="12"/>
        <v>32</v>
      </c>
      <c r="I72" s="88" t="str">
        <f t="shared" si="13"/>
        <v>2</v>
      </c>
      <c r="J72" s="88" t="str">
        <f t="shared" si="14"/>
        <v>48</v>
      </c>
      <c r="K72" s="88" t="str">
        <f t="shared" si="15"/>
        <v>48</v>
      </c>
      <c r="L72" s="122" t="str">
        <f t="shared" si="16"/>
        <v>80.118</v>
      </c>
      <c r="M72" s="122" t="str">
        <f t="shared" si="17"/>
        <v>80.122</v>
      </c>
      <c r="N72" s="90" t="str">
        <f t="shared" si="18"/>
        <v>54.092</v>
      </c>
      <c r="O72" s="131">
        <v>80.12217</v>
      </c>
      <c r="P72" s="122" t="str">
        <f t="shared" si="19"/>
        <v>0.002</v>
      </c>
      <c r="Q72" s="90" t="str">
        <f t="shared" si="20"/>
        <v>59.101</v>
      </c>
      <c r="R72" s="122" t="str">
        <f t="shared" si="21"/>
        <v>0.004</v>
      </c>
      <c r="S72" s="87" t="s">
        <v>104</v>
      </c>
      <c r="T72" s="90">
        <v>46007.415</v>
      </c>
      <c r="U72" s="90">
        <v>210639.457</v>
      </c>
      <c r="V72" s="87"/>
      <c r="W72" s="103"/>
      <c r="X72" s="82"/>
      <c r="Y72" s="34"/>
      <c r="Z72" s="34"/>
      <c r="AA72" s="34"/>
      <c r="AB72" s="104"/>
      <c r="AC72" s="104"/>
      <c r="AD72" s="34"/>
    </row>
    <row r="73" ht="15.75" customHeight="1">
      <c r="A73" s="87" t="str">
        <f t="shared" si="6"/>
        <v>CM60</v>
      </c>
      <c r="B73" s="88" t="str">
        <f t="shared" si="7"/>
        <v>49</v>
      </c>
      <c r="C73" s="88" t="str">
        <f t="shared" si="8"/>
        <v>14</v>
      </c>
      <c r="D73" s="88" t="str">
        <f t="shared" si="9"/>
        <v>48</v>
      </c>
      <c r="E73" s="120" t="str">
        <f t="shared" si="22"/>
        <v>68</v>
      </c>
      <c r="F73" s="88" t="str">
        <f t="shared" si="10"/>
        <v>49</v>
      </c>
      <c r="G73" s="88" t="str">
        <f t="shared" si="11"/>
        <v>49</v>
      </c>
      <c r="H73" s="88" t="str">
        <f t="shared" si="12"/>
        <v>15</v>
      </c>
      <c r="I73" s="88" t="str">
        <f t="shared" si="13"/>
        <v>56</v>
      </c>
      <c r="J73" s="88" t="str">
        <f t="shared" si="14"/>
        <v>49</v>
      </c>
      <c r="K73" s="88" t="str">
        <f t="shared" si="15"/>
        <v>49</v>
      </c>
      <c r="L73" s="122" t="str">
        <f t="shared" si="16"/>
        <v>118.712</v>
      </c>
      <c r="M73" s="122" t="str">
        <f t="shared" si="17"/>
        <v>118.718</v>
      </c>
      <c r="N73" s="90" t="str">
        <f t="shared" si="18"/>
        <v>77.466</v>
      </c>
      <c r="O73" s="131">
        <v>118.7141</v>
      </c>
      <c r="P73" s="122" t="str">
        <f t="shared" si="19"/>
        <v>0.003</v>
      </c>
      <c r="Q73" s="90" t="str">
        <f t="shared" si="20"/>
        <v>89.953</v>
      </c>
      <c r="R73" s="122" t="str">
        <f t="shared" si="21"/>
        <v>0.005</v>
      </c>
      <c r="S73" s="87" t="s">
        <v>105</v>
      </c>
      <c r="T73" s="90">
        <v>46084.884</v>
      </c>
      <c r="U73" s="90">
        <v>210729.415</v>
      </c>
      <c r="V73" s="87"/>
      <c r="W73" s="132"/>
      <c r="X73" s="82"/>
      <c r="Y73" s="34"/>
      <c r="Z73" s="34"/>
      <c r="AA73" s="34"/>
      <c r="AB73" s="104"/>
      <c r="AC73" s="104"/>
      <c r="AD73" s="34"/>
    </row>
    <row r="74" ht="15.75" customHeight="1">
      <c r="A74" s="87" t="str">
        <f t="shared" si="6"/>
        <v>CM61</v>
      </c>
      <c r="B74" s="88" t="str">
        <f t="shared" si="7"/>
        <v>52</v>
      </c>
      <c r="C74" s="88" t="str">
        <f t="shared" si="8"/>
        <v>0</v>
      </c>
      <c r="D74" s="88" t="str">
        <f t="shared" si="9"/>
        <v>45</v>
      </c>
      <c r="E74" s="120" t="str">
        <f t="shared" si="22"/>
        <v>69</v>
      </c>
      <c r="F74" s="88" t="str">
        <f t="shared" si="10"/>
        <v>52</v>
      </c>
      <c r="G74" s="88" t="str">
        <f t="shared" si="11"/>
        <v>52</v>
      </c>
      <c r="H74" s="88" t="str">
        <f t="shared" si="12"/>
        <v>1</v>
      </c>
      <c r="I74" s="88" t="str">
        <f t="shared" si="13"/>
        <v>54</v>
      </c>
      <c r="J74" s="88" t="str">
        <f t="shared" si="14"/>
        <v>52</v>
      </c>
      <c r="K74" s="88" t="str">
        <f t="shared" si="15"/>
        <v>52</v>
      </c>
      <c r="L74" s="122" t="str">
        <f t="shared" si="16"/>
        <v>62.330</v>
      </c>
      <c r="M74" s="122" t="str">
        <f t="shared" si="17"/>
        <v>62.334</v>
      </c>
      <c r="N74" s="90" t="str">
        <f t="shared" si="18"/>
        <v>38.347</v>
      </c>
      <c r="O74" s="131">
        <v>62.33224</v>
      </c>
      <c r="P74" s="122" t="str">
        <f t="shared" si="19"/>
        <v>0.002</v>
      </c>
      <c r="Q74" s="90" t="str">
        <f t="shared" si="20"/>
        <v>49.138</v>
      </c>
      <c r="R74" s="122" t="str">
        <f t="shared" si="21"/>
        <v>0.003</v>
      </c>
      <c r="S74" s="87" t="s">
        <v>106</v>
      </c>
      <c r="T74" s="90">
        <v>46123.233</v>
      </c>
      <c r="U74" s="90">
        <v>210778.556</v>
      </c>
      <c r="V74" s="87"/>
      <c r="W74" s="103"/>
      <c r="X74" s="82"/>
      <c r="Y74" s="34"/>
      <c r="Z74" s="34"/>
      <c r="AA74" s="34"/>
      <c r="AB74" s="104"/>
      <c r="AC74" s="104"/>
      <c r="AD74" s="34"/>
    </row>
    <row r="75" ht="15.75" customHeight="1">
      <c r="A75" s="87" t="str">
        <f t="shared" si="6"/>
        <v>CM62</v>
      </c>
      <c r="B75" s="88" t="str">
        <f t="shared" si="7"/>
        <v>57</v>
      </c>
      <c r="C75" s="88" t="str">
        <f t="shared" si="8"/>
        <v>11</v>
      </c>
      <c r="D75" s="88" t="str">
        <f t="shared" si="9"/>
        <v>28</v>
      </c>
      <c r="E75" s="120" t="str">
        <f t="shared" si="22"/>
        <v>70</v>
      </c>
      <c r="F75" s="88" t="str">
        <f t="shared" si="10"/>
        <v>57</v>
      </c>
      <c r="G75" s="88" t="str">
        <f t="shared" si="11"/>
        <v>57</v>
      </c>
      <c r="H75" s="88" t="str">
        <f t="shared" si="12"/>
        <v>12</v>
      </c>
      <c r="I75" s="88" t="str">
        <f t="shared" si="13"/>
        <v>38</v>
      </c>
      <c r="J75" s="88" t="str">
        <f t="shared" si="14"/>
        <v>57</v>
      </c>
      <c r="K75" s="88" t="str">
        <f t="shared" si="15"/>
        <v>57</v>
      </c>
      <c r="L75" s="122" t="str">
        <f t="shared" si="16"/>
        <v>40.389</v>
      </c>
      <c r="M75" s="122" t="str">
        <f t="shared" si="17"/>
        <v>40.392</v>
      </c>
      <c r="N75" s="90" t="str">
        <f t="shared" si="18"/>
        <v>21.873</v>
      </c>
      <c r="O75" s="131">
        <v>40.39161</v>
      </c>
      <c r="P75" s="122" t="str">
        <f t="shared" si="19"/>
        <v>0.001</v>
      </c>
      <c r="Q75" s="90" t="str">
        <f t="shared" si="20"/>
        <v>33.954</v>
      </c>
      <c r="R75" s="122" t="str">
        <f t="shared" si="21"/>
        <v>0.002</v>
      </c>
      <c r="S75" s="87" t="s">
        <v>107</v>
      </c>
      <c r="T75" s="90">
        <v>46145.106999999996</v>
      </c>
      <c r="U75" s="90">
        <v>210812.512</v>
      </c>
      <c r="V75" s="87"/>
      <c r="W75" s="132"/>
      <c r="X75" s="82"/>
      <c r="Y75" s="34"/>
      <c r="Z75" s="34"/>
      <c r="AA75" s="34"/>
      <c r="AB75" s="104"/>
      <c r="AC75" s="104"/>
      <c r="AD75" s="34"/>
    </row>
    <row r="76" ht="15.75" customHeight="1">
      <c r="A76" s="87" t="str">
        <f t="shared" si="6"/>
        <v>CM63</v>
      </c>
      <c r="B76" s="88" t="str">
        <f t="shared" si="7"/>
        <v>152</v>
      </c>
      <c r="C76" s="88" t="str">
        <f t="shared" si="8"/>
        <v>23</v>
      </c>
      <c r="D76" s="88" t="str">
        <f t="shared" si="9"/>
        <v>28</v>
      </c>
      <c r="E76" s="120" t="str">
        <f t="shared" si="22"/>
        <v>72</v>
      </c>
      <c r="F76" s="88" t="str">
        <f t="shared" si="10"/>
        <v>152</v>
      </c>
      <c r="G76" s="88" t="str">
        <f t="shared" si="11"/>
        <v>152</v>
      </c>
      <c r="H76" s="88" t="str">
        <f t="shared" si="12"/>
        <v>24</v>
      </c>
      <c r="I76" s="88" t="str">
        <f t="shared" si="13"/>
        <v>40</v>
      </c>
      <c r="J76" s="88" t="str">
        <f t="shared" si="14"/>
        <v>152</v>
      </c>
      <c r="K76" s="88" t="str">
        <f t="shared" si="15"/>
        <v>152</v>
      </c>
      <c r="L76" s="122" t="str">
        <f t="shared" si="16"/>
        <v>113.239</v>
      </c>
      <c r="M76" s="122" t="str">
        <f t="shared" si="17"/>
        <v>113.239</v>
      </c>
      <c r="N76" s="90" t="str">
        <f t="shared" si="18"/>
        <v>-100.363</v>
      </c>
      <c r="O76" s="131">
        <v>113.23923</v>
      </c>
      <c r="P76" s="122" t="str">
        <f t="shared" si="19"/>
        <v>0.003</v>
      </c>
      <c r="Q76" s="90" t="str">
        <f t="shared" si="20"/>
        <v>52.444</v>
      </c>
      <c r="R76" s="122" t="str">
        <f t="shared" si="21"/>
        <v>0.005</v>
      </c>
      <c r="S76" s="87" t="s">
        <v>108</v>
      </c>
      <c r="T76" s="90">
        <v>46044.746999999996</v>
      </c>
      <c r="U76" s="90">
        <v>210864.961</v>
      </c>
      <c r="V76" s="87"/>
      <c r="W76" s="103"/>
      <c r="X76" s="82"/>
      <c r="Y76" s="34"/>
      <c r="Z76" s="34"/>
      <c r="AA76" s="34"/>
      <c r="AB76" s="104"/>
      <c r="AC76" s="104"/>
      <c r="AD76" s="34"/>
    </row>
    <row r="77" ht="15.75" customHeight="1">
      <c r="A77" s="87" t="str">
        <f t="shared" si="6"/>
        <v>CM64</v>
      </c>
      <c r="B77" s="88" t="str">
        <f t="shared" si="7"/>
        <v>151</v>
      </c>
      <c r="C77" s="88" t="str">
        <f t="shared" si="8"/>
        <v>32</v>
      </c>
      <c r="D77" s="88" t="str">
        <f t="shared" si="9"/>
        <v>4</v>
      </c>
      <c r="E77" s="120" t="str">
        <f t="shared" si="22"/>
        <v>73</v>
      </c>
      <c r="F77" s="88" t="str">
        <f t="shared" si="10"/>
        <v>152</v>
      </c>
      <c r="G77" s="88" t="str">
        <f t="shared" si="11"/>
        <v>151</v>
      </c>
      <c r="H77" s="88" t="str">
        <f t="shared" si="12"/>
        <v>33</v>
      </c>
      <c r="I77" s="88" t="str">
        <f t="shared" si="13"/>
        <v>17</v>
      </c>
      <c r="J77" s="88" t="str">
        <f t="shared" si="14"/>
        <v>152</v>
      </c>
      <c r="K77" s="88" t="str">
        <f t="shared" si="15"/>
        <v>152</v>
      </c>
      <c r="L77" s="122" t="str">
        <f t="shared" si="16"/>
        <v>55.597</v>
      </c>
      <c r="M77" s="122" t="str">
        <f t="shared" si="17"/>
        <v>55.596</v>
      </c>
      <c r="N77" s="90" t="str">
        <f t="shared" si="18"/>
        <v>-48.885</v>
      </c>
      <c r="O77" s="131">
        <v>55.59624</v>
      </c>
      <c r="P77" s="122" t="str">
        <f t="shared" si="19"/>
        <v>0.002</v>
      </c>
      <c r="Q77" s="90" t="str">
        <f t="shared" si="20"/>
        <v>26.482</v>
      </c>
      <c r="R77" s="122" t="str">
        <f t="shared" si="21"/>
        <v>0.002</v>
      </c>
      <c r="S77" s="87" t="s">
        <v>109</v>
      </c>
      <c r="T77" s="90">
        <v>45995.864</v>
      </c>
      <c r="U77" s="90">
        <v>210891.445</v>
      </c>
      <c r="V77" s="87"/>
      <c r="W77" s="103"/>
      <c r="X77" s="82"/>
      <c r="Y77" s="34"/>
      <c r="Z77" s="34"/>
      <c r="AA77" s="34"/>
      <c r="AB77" s="104"/>
      <c r="AC77" s="104"/>
      <c r="AD77" s="34"/>
    </row>
    <row r="78" ht="15.75" customHeight="1">
      <c r="A78" s="87" t="str">
        <f t="shared" si="6"/>
        <v>CM65</v>
      </c>
      <c r="B78" s="88" t="str">
        <f t="shared" si="7"/>
        <v>150</v>
      </c>
      <c r="C78" s="88" t="str">
        <f t="shared" si="8"/>
        <v>14</v>
      </c>
      <c r="D78" s="88" t="str">
        <f t="shared" si="9"/>
        <v>2</v>
      </c>
      <c r="E78" s="120" t="str">
        <f t="shared" si="22"/>
        <v>74</v>
      </c>
      <c r="F78" s="88" t="str">
        <f t="shared" si="10"/>
        <v>150</v>
      </c>
      <c r="G78" s="88" t="str">
        <f t="shared" si="11"/>
        <v>150</v>
      </c>
      <c r="H78" s="88" t="str">
        <f t="shared" si="12"/>
        <v>15</v>
      </c>
      <c r="I78" s="88" t="str">
        <f t="shared" si="13"/>
        <v>16</v>
      </c>
      <c r="J78" s="88" t="str">
        <f t="shared" si="14"/>
        <v>150</v>
      </c>
      <c r="K78" s="88" t="str">
        <f t="shared" si="15"/>
        <v>150</v>
      </c>
      <c r="L78" s="122" t="str">
        <f t="shared" si="16"/>
        <v>56.826</v>
      </c>
      <c r="M78" s="122" t="str">
        <f t="shared" si="17"/>
        <v>56.825</v>
      </c>
      <c r="N78" s="90" t="str">
        <f t="shared" si="18"/>
        <v>-49.338</v>
      </c>
      <c r="O78" s="131">
        <v>56.8254</v>
      </c>
      <c r="P78" s="122" t="str">
        <f t="shared" si="19"/>
        <v>0.002</v>
      </c>
      <c r="Q78" s="90" t="str">
        <f t="shared" si="20"/>
        <v>28.194</v>
      </c>
      <c r="R78" s="122" t="str">
        <f t="shared" si="21"/>
        <v>0.002</v>
      </c>
      <c r="S78" s="87" t="s">
        <v>110</v>
      </c>
      <c r="T78" s="90">
        <v>45946.528</v>
      </c>
      <c r="U78" s="90">
        <v>210919.641</v>
      </c>
      <c r="V78" s="87"/>
      <c r="W78" s="132"/>
      <c r="X78" s="82"/>
      <c r="Y78" s="34"/>
      <c r="Z78" s="34"/>
      <c r="AA78" s="34"/>
      <c r="AB78" s="104"/>
      <c r="AC78" s="104"/>
      <c r="AD78" s="34"/>
    </row>
    <row r="79" ht="15.75" customHeight="1">
      <c r="A79" s="133" t="str">
        <f>DTM!A7</f>
        <v>cm2</v>
      </c>
      <c r="B79" s="88" t="str">
        <f t="shared" si="7"/>
        <v>315</v>
      </c>
      <c r="C79" s="88" t="str">
        <f t="shared" si="8"/>
        <v>4</v>
      </c>
      <c r="D79" s="88" t="str">
        <f t="shared" si="9"/>
        <v>33</v>
      </c>
      <c r="E79" s="120" t="str">
        <f t="shared" si="22"/>
        <v>75</v>
      </c>
      <c r="F79" s="88" t="str">
        <f t="shared" si="10"/>
        <v>315</v>
      </c>
      <c r="G79" s="88" t="str">
        <f t="shared" si="11"/>
        <v>315</v>
      </c>
      <c r="H79" s="88" t="str">
        <f t="shared" si="12"/>
        <v>5</v>
      </c>
      <c r="I79" s="88" t="str">
        <f t="shared" si="13"/>
        <v>48</v>
      </c>
      <c r="J79" s="88" t="str">
        <f t="shared" si="14"/>
        <v>315</v>
      </c>
      <c r="K79" s="88" t="str">
        <f t="shared" si="15"/>
        <v>-45</v>
      </c>
      <c r="L79" s="122" t="str">
        <f t="shared" si="16"/>
        <v>305.596</v>
      </c>
      <c r="M79" s="122" t="str">
        <f t="shared" si="17"/>
        <v>305.593</v>
      </c>
      <c r="N79" s="90" t="str">
        <f t="shared" si="18"/>
        <v>216.453</v>
      </c>
      <c r="O79" s="131">
        <v>305.59362</v>
      </c>
      <c r="P79" s="122" t="str">
        <f t="shared" si="19"/>
        <v>0.009</v>
      </c>
      <c r="Q79" s="90" t="str">
        <f t="shared" si="20"/>
        <v>-215.724</v>
      </c>
      <c r="R79" s="122" t="str">
        <f t="shared" si="21"/>
        <v>0.013</v>
      </c>
      <c r="S79" s="89" t="str">
        <f>DTM!A7</f>
        <v>cm2</v>
      </c>
      <c r="T79" s="122" t="str">
        <f>DTM!B7</f>
        <v>46162.990</v>
      </c>
      <c r="U79" s="122" t="str">
        <f>DTM!C7</f>
        <v>210703.930</v>
      </c>
      <c r="V79" s="89" t="str">
        <f>DTM!D7</f>
        <v>I/s No.</v>
      </c>
      <c r="W79" s="103"/>
      <c r="X79" s="82"/>
      <c r="Y79" s="34"/>
      <c r="Z79" s="34"/>
      <c r="AA79" s="34"/>
      <c r="AB79" s="104"/>
      <c r="AC79" s="104"/>
      <c r="AD79" s="34"/>
    </row>
    <row r="80" ht="15.75" customHeight="1">
      <c r="A80" s="89" t="str">
        <f>DTM!A20</f>
        <v>DD/6126</v>
      </c>
      <c r="B80" s="119" t="str">
        <f t="shared" si="7"/>
        <v>99</v>
      </c>
      <c r="C80" s="119" t="str">
        <f t="shared" si="8"/>
        <v>44</v>
      </c>
      <c r="D80" s="119" t="str">
        <f t="shared" si="9"/>
        <v>31</v>
      </c>
      <c r="E80" s="120">
        <v>74.0</v>
      </c>
      <c r="F80" s="119" t="str">
        <f t="shared" si="10"/>
        <v>100</v>
      </c>
      <c r="G80" s="119" t="str">
        <f>DTM!H21</f>
        <v>99</v>
      </c>
      <c r="H80" s="119" t="str">
        <f>DTM!I21</f>
        <v>45</v>
      </c>
      <c r="I80" s="119" t="str">
        <f>DTM!J21</f>
        <v>45</v>
      </c>
      <c r="J80" s="88"/>
      <c r="K80" s="88"/>
      <c r="L80" s="127" t="str">
        <f t="shared" ref="L80:R80" si="23">SUM(L12:L79)</f>
        <v>2834.441</v>
      </c>
      <c r="M80" s="127" t="str">
        <f t="shared" si="23"/>
        <v>2834.441</v>
      </c>
      <c r="N80" s="81" t="str">
        <f t="shared" si="23"/>
        <v>64.539</v>
      </c>
      <c r="O80" s="81" t="str">
        <f t="shared" si="23"/>
        <v>2834.454</v>
      </c>
      <c r="P80" s="127" t="str">
        <f t="shared" si="23"/>
        <v>0.081</v>
      </c>
      <c r="Q80" s="81" t="str">
        <f t="shared" si="23"/>
        <v>-40.665</v>
      </c>
      <c r="R80" s="127" t="str">
        <f t="shared" si="23"/>
        <v>0.125</v>
      </c>
      <c r="S80" s="89" t="str">
        <f t="shared" ref="S80:S81" si="25">A80</f>
        <v>DD/6126</v>
      </c>
      <c r="T80" s="90" t="str">
        <f t="shared" ref="T80:U80" si="24">T79-T11</f>
        <v>64.620</v>
      </c>
      <c r="U80" s="90" t="str">
        <f t="shared" si="24"/>
        <v>-40.540</v>
      </c>
      <c r="V80" s="89" t="str">
        <f>DTM!D8</f>
        <v>I/s No.</v>
      </c>
      <c r="W80" s="103"/>
      <c r="X80" s="82"/>
      <c r="Y80" s="34"/>
      <c r="Z80" s="34"/>
      <c r="AA80" s="34"/>
      <c r="AB80" s="104"/>
      <c r="AC80" s="104"/>
      <c r="AD80" s="34"/>
    </row>
    <row r="81" ht="15.75" customHeight="1">
      <c r="A81" s="89" t="str">
        <f>DTM!A23</f>
        <v>cm1</v>
      </c>
      <c r="B81" s="119" t="str">
        <f t="shared" si="7"/>
        <v>60</v>
      </c>
      <c r="C81" s="119" t="str">
        <f t="shared" si="8"/>
        <v>16</v>
      </c>
      <c r="D81" s="119" t="str">
        <f t="shared" si="9"/>
        <v>26</v>
      </c>
      <c r="E81" s="120">
        <v>78.0</v>
      </c>
      <c r="F81" s="119" t="str">
        <f t="shared" si="10"/>
        <v>60</v>
      </c>
      <c r="G81" s="119" t="str">
        <f>DTM!H24</f>
        <v>60</v>
      </c>
      <c r="H81" s="119" t="str">
        <f>DTM!I24</f>
        <v>17</v>
      </c>
      <c r="I81" s="119" t="str">
        <f>DTM!J24</f>
        <v>44</v>
      </c>
      <c r="J81" s="88"/>
      <c r="K81" s="88"/>
      <c r="L81" s="121"/>
      <c r="M81" s="121"/>
      <c r="N81" s="90"/>
      <c r="O81" s="90"/>
      <c r="P81" s="122"/>
      <c r="Q81" s="90"/>
      <c r="R81" s="122"/>
      <c r="S81" s="89" t="str">
        <f t="shared" si="25"/>
        <v>cm1</v>
      </c>
      <c r="T81" s="90" t="str">
        <f>N80</f>
        <v>64.539</v>
      </c>
      <c r="U81" s="90" t="str">
        <f>Q80</f>
        <v>-40.665</v>
      </c>
      <c r="V81" s="89" t="str">
        <f>DTM!D9</f>
        <v>I/s No.</v>
      </c>
      <c r="W81" s="134"/>
      <c r="X81" s="82"/>
      <c r="Y81" s="34"/>
      <c r="Z81" s="34"/>
      <c r="AA81" s="34"/>
      <c r="AB81" s="104"/>
      <c r="AC81" s="104"/>
      <c r="AD81" s="34"/>
    </row>
    <row r="82" ht="15.75" customHeight="1">
      <c r="A82" s="87"/>
      <c r="B82" s="88"/>
      <c r="C82" s="88"/>
      <c r="D82" s="88"/>
      <c r="E82" s="120" t="str">
        <f>AVERAGE(E80:E81)</f>
        <v>76</v>
      </c>
      <c r="F82" s="87"/>
      <c r="G82" s="88"/>
      <c r="H82" s="88"/>
      <c r="I82" s="88"/>
      <c r="J82" s="88"/>
      <c r="K82" s="88"/>
      <c r="L82" s="121"/>
      <c r="M82" s="121"/>
      <c r="N82" s="90"/>
      <c r="O82" s="90"/>
      <c r="P82" s="122"/>
      <c r="Q82" s="90"/>
      <c r="R82" s="122"/>
      <c r="S82" s="87"/>
      <c r="T82" s="90" t="str">
        <f>SQRT((Q84^2)/2-(Q84^2)/5)</f>
        <v>0.082</v>
      </c>
      <c r="U82" s="90" t="str">
        <f>SQRT(Q84^2-T82^2)</f>
        <v>0.125</v>
      </c>
      <c r="V82" s="87"/>
      <c r="W82" s="103"/>
      <c r="X82" s="82"/>
      <c r="Y82" s="34"/>
      <c r="Z82" s="34"/>
      <c r="AA82" s="34"/>
      <c r="AB82" s="104"/>
      <c r="AC82" s="104"/>
      <c r="AD82" s="34"/>
    </row>
    <row r="83" ht="15.75" customHeight="1">
      <c r="A83" s="135" t="s">
        <v>143</v>
      </c>
      <c r="B83" s="95"/>
      <c r="C83" s="95"/>
      <c r="D83" s="95"/>
      <c r="E83" s="120"/>
      <c r="F83" s="87"/>
      <c r="G83" s="88"/>
      <c r="H83" s="88"/>
      <c r="I83" s="88"/>
      <c r="J83" s="88"/>
      <c r="K83" s="88"/>
      <c r="L83" s="121"/>
      <c r="M83" s="121"/>
      <c r="N83" s="90"/>
      <c r="O83" s="90"/>
      <c r="P83" s="122"/>
      <c r="Q83" s="90"/>
      <c r="R83" s="122"/>
      <c r="S83" s="87"/>
      <c r="T83" s="136"/>
      <c r="U83" s="136"/>
      <c r="V83" s="87"/>
      <c r="W83" s="103"/>
      <c r="X83" s="82"/>
      <c r="Y83" s="34"/>
      <c r="Z83" s="34"/>
      <c r="AA83" s="34"/>
      <c r="AB83" s="104"/>
      <c r="AC83" s="104"/>
      <c r="AD83" s="34"/>
    </row>
    <row r="84" ht="15.75" customHeight="1">
      <c r="A84" s="137" t="s">
        <v>144</v>
      </c>
      <c r="B84" s="138"/>
      <c r="C84" s="138"/>
      <c r="D84" s="138"/>
      <c r="E84" s="139" t="str">
        <f>E82/COUNTA(A11:A79)</f>
        <v>1.1</v>
      </c>
      <c r="F84" s="140"/>
      <c r="G84" s="141" t="s">
        <v>145</v>
      </c>
      <c r="H84" s="20"/>
      <c r="I84" s="20"/>
      <c r="J84" s="142"/>
      <c r="K84" s="88"/>
      <c r="L84" s="143" t="s">
        <v>146</v>
      </c>
      <c r="M84" s="20"/>
      <c r="N84" s="20"/>
      <c r="O84" s="20"/>
      <c r="P84" s="62"/>
      <c r="Q84" s="144" t="str">
        <f>ROUND((M80/T84),3)</f>
        <v>0.149</v>
      </c>
      <c r="R84" s="145" t="s">
        <v>147</v>
      </c>
      <c r="S84" s="146" t="s">
        <v>148</v>
      </c>
      <c r="T84" s="147">
        <v>18994.606</v>
      </c>
      <c r="U84" s="62"/>
      <c r="V84" s="87"/>
      <c r="W84" s="103"/>
      <c r="X84" s="82"/>
      <c r="Y84" s="34"/>
      <c r="Z84" s="34"/>
      <c r="AA84" s="34"/>
      <c r="AB84" s="104"/>
      <c r="AC84" s="104"/>
      <c r="AD84" s="34"/>
    </row>
    <row r="85" ht="15.75" customHeight="1">
      <c r="A85" s="82"/>
      <c r="B85" s="83"/>
      <c r="C85" s="83"/>
      <c r="D85" s="83"/>
      <c r="E85" s="148"/>
      <c r="F85" s="82"/>
      <c r="G85" s="83"/>
      <c r="H85" s="83"/>
      <c r="I85" s="83"/>
      <c r="J85" s="83"/>
      <c r="K85" s="83"/>
      <c r="L85" s="149"/>
      <c r="M85" s="149"/>
      <c r="N85" s="85"/>
      <c r="O85" s="85"/>
      <c r="P85" s="150"/>
      <c r="Q85" s="85"/>
      <c r="R85" s="150"/>
      <c r="S85" s="82"/>
      <c r="T85" s="151"/>
      <c r="U85" s="151"/>
      <c r="V85" s="82"/>
      <c r="W85" s="103"/>
      <c r="X85" s="82"/>
      <c r="Y85" s="34"/>
      <c r="Z85" s="34"/>
      <c r="AA85" s="34"/>
      <c r="AB85" s="104"/>
      <c r="AC85" s="104"/>
      <c r="AD85" s="34"/>
    </row>
    <row r="86" ht="15.75" customHeight="1">
      <c r="A86" s="34"/>
      <c r="B86" s="152"/>
      <c r="C86" s="152"/>
      <c r="D86" s="152"/>
      <c r="E86" s="153"/>
      <c r="F86" s="34"/>
      <c r="G86" s="152"/>
      <c r="H86" s="152"/>
      <c r="I86" s="152"/>
      <c r="J86" s="152"/>
      <c r="K86" s="152"/>
      <c r="L86" s="154"/>
      <c r="M86" s="154"/>
      <c r="N86" s="104"/>
      <c r="O86" s="104"/>
      <c r="P86" s="155"/>
      <c r="Q86" s="104"/>
      <c r="R86" s="155"/>
      <c r="S86" s="34"/>
      <c r="T86" s="104"/>
      <c r="U86" s="104"/>
      <c r="V86" s="34"/>
      <c r="W86" s="103"/>
      <c r="X86" s="82"/>
      <c r="Y86" s="34"/>
      <c r="Z86" s="34"/>
      <c r="AA86" s="34"/>
      <c r="AB86" s="104"/>
      <c r="AC86" s="104"/>
      <c r="AD86" s="34"/>
    </row>
    <row r="87" ht="15.75" customHeight="1">
      <c r="A87" s="34"/>
      <c r="B87" s="152"/>
      <c r="C87" s="152"/>
      <c r="D87" s="152"/>
      <c r="E87" s="153"/>
      <c r="F87" s="34"/>
      <c r="G87" s="152"/>
      <c r="H87" s="152"/>
      <c r="I87" s="152"/>
      <c r="J87" s="152"/>
      <c r="K87" s="152"/>
      <c r="L87" s="154"/>
      <c r="M87" s="154"/>
      <c r="N87" s="104"/>
      <c r="O87" s="104"/>
      <c r="P87" s="155"/>
      <c r="Q87" s="104"/>
      <c r="R87" s="155"/>
      <c r="S87" s="34"/>
      <c r="T87" s="156"/>
      <c r="U87" s="156"/>
      <c r="V87" s="34"/>
      <c r="W87" s="103"/>
      <c r="X87" s="82"/>
      <c r="Y87" s="34"/>
      <c r="Z87" s="34"/>
      <c r="AA87" s="34"/>
      <c r="AB87" s="104"/>
      <c r="AC87" s="104"/>
      <c r="AD87" s="34"/>
    </row>
    <row r="88" ht="15.75" customHeight="1">
      <c r="A88" s="34"/>
      <c r="B88" s="152"/>
      <c r="C88" s="152"/>
      <c r="D88" s="152"/>
      <c r="E88" s="153"/>
      <c r="F88" s="34"/>
      <c r="G88" s="152"/>
      <c r="H88" s="152"/>
      <c r="I88" s="152"/>
      <c r="J88" s="152"/>
      <c r="K88" s="152"/>
      <c r="L88" s="154"/>
      <c r="M88" s="154"/>
      <c r="N88" s="104"/>
      <c r="O88" s="104"/>
      <c r="P88" s="155"/>
      <c r="Q88" s="104"/>
      <c r="R88" s="155"/>
      <c r="S88" s="34"/>
      <c r="T88" s="156"/>
      <c r="U88" s="156"/>
      <c r="V88" s="34"/>
      <c r="W88" s="103"/>
      <c r="X88" s="82"/>
      <c r="Y88" s="34"/>
      <c r="Z88" s="34"/>
      <c r="AA88" s="34"/>
      <c r="AB88" s="104"/>
      <c r="AC88" s="104"/>
      <c r="AD88" s="34"/>
    </row>
    <row r="89" ht="15.75" customHeight="1">
      <c r="A89" s="34"/>
      <c r="B89" s="152"/>
      <c r="C89" s="152"/>
      <c r="D89" s="152"/>
      <c r="E89" s="153"/>
      <c r="F89" s="34"/>
      <c r="G89" s="152"/>
      <c r="H89" s="152"/>
      <c r="I89" s="152"/>
      <c r="J89" s="152"/>
      <c r="K89" s="152"/>
      <c r="L89" s="154"/>
      <c r="M89" s="154"/>
      <c r="N89" s="104"/>
      <c r="O89" s="104"/>
      <c r="P89" s="155"/>
      <c r="Q89" s="104"/>
      <c r="R89" s="155"/>
      <c r="S89" s="34"/>
      <c r="T89" s="156"/>
      <c r="U89" s="156"/>
      <c r="V89" s="34"/>
      <c r="W89" s="103"/>
      <c r="X89" s="82"/>
      <c r="Y89" s="34"/>
      <c r="Z89" s="34"/>
      <c r="AA89" s="34"/>
      <c r="AB89" s="104"/>
      <c r="AC89" s="104"/>
      <c r="AD89" s="34"/>
    </row>
    <row r="90" ht="15.75" customHeight="1">
      <c r="A90" s="34"/>
      <c r="B90" s="152"/>
      <c r="C90" s="152"/>
      <c r="D90" s="152"/>
      <c r="E90" s="153"/>
      <c r="F90" s="34"/>
      <c r="G90" s="152"/>
      <c r="H90" s="152"/>
      <c r="I90" s="152"/>
      <c r="J90" s="152"/>
      <c r="K90" s="152"/>
      <c r="L90" s="154"/>
      <c r="M90" s="154"/>
      <c r="N90" s="104"/>
      <c r="O90" s="104"/>
      <c r="P90" s="155"/>
      <c r="Q90" s="104"/>
      <c r="R90" s="155"/>
      <c r="S90" s="34"/>
      <c r="T90" s="156"/>
      <c r="U90" s="156"/>
      <c r="V90" s="34"/>
      <c r="W90" s="103"/>
      <c r="X90" s="82"/>
      <c r="Y90" s="34"/>
      <c r="Z90" s="34"/>
      <c r="AA90" s="34"/>
      <c r="AB90" s="104"/>
      <c r="AC90" s="104"/>
      <c r="AD90" s="34"/>
    </row>
    <row r="91" ht="15.75" customHeight="1">
      <c r="A91" s="34"/>
      <c r="B91" s="152"/>
      <c r="C91" s="152"/>
      <c r="D91" s="152"/>
      <c r="E91" s="153"/>
      <c r="F91" s="34"/>
      <c r="G91" s="152"/>
      <c r="H91" s="152"/>
      <c r="I91" s="152"/>
      <c r="J91" s="152"/>
      <c r="K91" s="152"/>
      <c r="L91" s="154"/>
      <c r="M91" s="154"/>
      <c r="N91" s="104"/>
      <c r="O91" s="104"/>
      <c r="P91" s="155"/>
      <c r="Q91" s="104"/>
      <c r="R91" s="155"/>
      <c r="S91" s="34"/>
      <c r="T91" s="156"/>
      <c r="U91" s="156"/>
      <c r="V91" s="34"/>
      <c r="W91" s="103"/>
      <c r="X91" s="82"/>
      <c r="Y91" s="34"/>
      <c r="Z91" s="34"/>
      <c r="AA91" s="34"/>
      <c r="AB91" s="104"/>
      <c r="AC91" s="104"/>
      <c r="AD91" s="34"/>
    </row>
    <row r="92" ht="15.75" customHeight="1">
      <c r="A92" s="34"/>
      <c r="B92" s="152"/>
      <c r="C92" s="152"/>
      <c r="D92" s="152"/>
      <c r="E92" s="153"/>
      <c r="F92" s="34"/>
      <c r="G92" s="152"/>
      <c r="H92" s="152"/>
      <c r="I92" s="152"/>
      <c r="J92" s="152"/>
      <c r="K92" s="152"/>
      <c r="L92" s="154"/>
      <c r="M92" s="154"/>
      <c r="N92" s="104"/>
      <c r="O92" s="104"/>
      <c r="P92" s="155"/>
      <c r="Q92" s="104"/>
      <c r="R92" s="155"/>
      <c r="S92" s="34"/>
      <c r="T92" s="156"/>
      <c r="U92" s="156"/>
      <c r="V92" s="34"/>
      <c r="W92" s="103"/>
      <c r="X92" s="82"/>
      <c r="Y92" s="34"/>
      <c r="Z92" s="34"/>
      <c r="AA92" s="34"/>
      <c r="AB92" s="104"/>
      <c r="AC92" s="104"/>
      <c r="AD92" s="34"/>
    </row>
    <row r="93" ht="15.75" customHeight="1">
      <c r="A93" s="34"/>
      <c r="B93" s="152"/>
      <c r="C93" s="152"/>
      <c r="D93" s="152"/>
      <c r="E93" s="153"/>
      <c r="F93" s="34"/>
      <c r="G93" s="152"/>
      <c r="H93" s="152"/>
      <c r="I93" s="152"/>
      <c r="J93" s="152"/>
      <c r="K93" s="152"/>
      <c r="L93" s="154"/>
      <c r="M93" s="154"/>
      <c r="N93" s="104"/>
      <c r="O93" s="104"/>
      <c r="P93" s="155"/>
      <c r="Q93" s="104"/>
      <c r="R93" s="155"/>
      <c r="S93" s="34"/>
      <c r="T93" s="156"/>
      <c r="U93" s="156"/>
      <c r="V93" s="34"/>
      <c r="W93" s="103"/>
      <c r="X93" s="82"/>
      <c r="Y93" s="34"/>
      <c r="Z93" s="34"/>
      <c r="AA93" s="34"/>
      <c r="AB93" s="104"/>
      <c r="AC93" s="104"/>
      <c r="AD93" s="34"/>
    </row>
    <row r="94" ht="15.75" customHeight="1">
      <c r="A94" s="34"/>
      <c r="B94" s="152"/>
      <c r="C94" s="152"/>
      <c r="D94" s="152"/>
      <c r="E94" s="153"/>
      <c r="F94" s="34"/>
      <c r="G94" s="152"/>
      <c r="H94" s="152"/>
      <c r="I94" s="152"/>
      <c r="J94" s="152"/>
      <c r="K94" s="152"/>
      <c r="L94" s="154"/>
      <c r="M94" s="154"/>
      <c r="N94" s="104"/>
      <c r="O94" s="104"/>
      <c r="P94" s="155"/>
      <c r="Q94" s="104"/>
      <c r="R94" s="155"/>
      <c r="S94" s="34"/>
      <c r="T94" s="156"/>
      <c r="U94" s="156"/>
      <c r="V94" s="34"/>
      <c r="W94" s="103"/>
      <c r="X94" s="82"/>
      <c r="Y94" s="34"/>
      <c r="Z94" s="34"/>
      <c r="AA94" s="34"/>
      <c r="AB94" s="104"/>
      <c r="AC94" s="104"/>
      <c r="AD94" s="34"/>
    </row>
    <row r="95" ht="15.75" customHeight="1">
      <c r="A95" s="34"/>
      <c r="B95" s="152"/>
      <c r="C95" s="152"/>
      <c r="D95" s="152"/>
      <c r="E95" s="153"/>
      <c r="F95" s="34"/>
      <c r="G95" s="152"/>
      <c r="H95" s="152"/>
      <c r="I95" s="152"/>
      <c r="J95" s="152"/>
      <c r="K95" s="152"/>
      <c r="L95" s="154"/>
      <c r="M95" s="154"/>
      <c r="N95" s="104"/>
      <c r="O95" s="104"/>
      <c r="P95" s="155"/>
      <c r="Q95" s="104"/>
      <c r="R95" s="155"/>
      <c r="S95" s="34"/>
      <c r="T95" s="156"/>
      <c r="U95" s="156"/>
      <c r="V95" s="34"/>
      <c r="W95" s="103"/>
      <c r="X95" s="82"/>
      <c r="Y95" s="34"/>
      <c r="Z95" s="34"/>
      <c r="AA95" s="34"/>
      <c r="AB95" s="104"/>
      <c r="AC95" s="104"/>
      <c r="AD95" s="34"/>
    </row>
    <row r="96" ht="15.75" customHeight="1">
      <c r="A96" s="34"/>
      <c r="B96" s="152"/>
      <c r="C96" s="152"/>
      <c r="D96" s="152"/>
      <c r="E96" s="153"/>
      <c r="F96" s="34"/>
      <c r="G96" s="152"/>
      <c r="H96" s="152"/>
      <c r="I96" s="152"/>
      <c r="J96" s="152"/>
      <c r="K96" s="152"/>
      <c r="L96" s="154"/>
      <c r="M96" s="154"/>
      <c r="N96" s="104"/>
      <c r="O96" s="104"/>
      <c r="P96" s="155"/>
      <c r="Q96" s="104"/>
      <c r="R96" s="155"/>
      <c r="S96" s="34"/>
      <c r="T96" s="156"/>
      <c r="U96" s="156"/>
      <c r="V96" s="34"/>
      <c r="W96" s="103"/>
      <c r="X96" s="82"/>
      <c r="Y96" s="34"/>
      <c r="Z96" s="34"/>
      <c r="AA96" s="34"/>
      <c r="AB96" s="104"/>
      <c r="AC96" s="104"/>
      <c r="AD96" s="34"/>
    </row>
    <row r="97" ht="15.75" customHeight="1">
      <c r="A97" s="34"/>
      <c r="B97" s="152"/>
      <c r="C97" s="152"/>
      <c r="D97" s="152"/>
      <c r="E97" s="153"/>
      <c r="F97" s="34"/>
      <c r="G97" s="152"/>
      <c r="H97" s="152"/>
      <c r="I97" s="152"/>
      <c r="J97" s="152"/>
      <c r="K97" s="152"/>
      <c r="L97" s="154"/>
      <c r="M97" s="154"/>
      <c r="N97" s="104"/>
      <c r="O97" s="104"/>
      <c r="P97" s="155"/>
      <c r="Q97" s="104"/>
      <c r="R97" s="155"/>
      <c r="S97" s="34"/>
      <c r="T97" s="156"/>
      <c r="U97" s="156"/>
      <c r="V97" s="34"/>
      <c r="W97" s="103"/>
      <c r="X97" s="82"/>
      <c r="Y97" s="34"/>
      <c r="Z97" s="34"/>
      <c r="AA97" s="34"/>
      <c r="AB97" s="104"/>
      <c r="AC97" s="104"/>
      <c r="AD97" s="34"/>
    </row>
    <row r="98" ht="15.75" customHeight="1">
      <c r="A98" s="34"/>
      <c r="B98" s="152"/>
      <c r="C98" s="152"/>
      <c r="D98" s="152"/>
      <c r="E98" s="153"/>
      <c r="F98" s="34"/>
      <c r="G98" s="152"/>
      <c r="H98" s="152"/>
      <c r="I98" s="152"/>
      <c r="J98" s="152"/>
      <c r="K98" s="152"/>
      <c r="L98" s="154"/>
      <c r="M98" s="154"/>
      <c r="N98" s="104"/>
      <c r="O98" s="104"/>
      <c r="P98" s="155"/>
      <c r="Q98" s="104"/>
      <c r="R98" s="155"/>
      <c r="S98" s="34"/>
      <c r="T98" s="156"/>
      <c r="U98" s="156"/>
      <c r="V98" s="34"/>
      <c r="W98" s="103"/>
      <c r="X98" s="82"/>
      <c r="Y98" s="34"/>
      <c r="Z98" s="34"/>
      <c r="AA98" s="34"/>
      <c r="AB98" s="104"/>
      <c r="AC98" s="104"/>
      <c r="AD98" s="34"/>
    </row>
    <row r="99" ht="15.75" customHeight="1">
      <c r="A99" s="34"/>
      <c r="B99" s="152"/>
      <c r="C99" s="152"/>
      <c r="D99" s="152"/>
      <c r="E99" s="153"/>
      <c r="F99" s="34"/>
      <c r="G99" s="152"/>
      <c r="H99" s="152"/>
      <c r="I99" s="152"/>
      <c r="J99" s="152"/>
      <c r="K99" s="152"/>
      <c r="L99" s="154"/>
      <c r="M99" s="154"/>
      <c r="N99" s="104"/>
      <c r="O99" s="104"/>
      <c r="P99" s="155"/>
      <c r="Q99" s="104"/>
      <c r="R99" s="155"/>
      <c r="S99" s="34"/>
      <c r="T99" s="156"/>
      <c r="U99" s="156"/>
      <c r="V99" s="34"/>
      <c r="W99" s="103"/>
      <c r="X99" s="82"/>
      <c r="Y99" s="34"/>
      <c r="Z99" s="34"/>
      <c r="AA99" s="34"/>
      <c r="AB99" s="104"/>
      <c r="AC99" s="104"/>
      <c r="AD99" s="34"/>
    </row>
    <row r="100" ht="15.75" customHeight="1">
      <c r="A100" s="34"/>
      <c r="B100" s="152"/>
      <c r="C100" s="152"/>
      <c r="D100" s="152"/>
      <c r="E100" s="153"/>
      <c r="F100" s="34"/>
      <c r="G100" s="152"/>
      <c r="H100" s="152"/>
      <c r="I100" s="152"/>
      <c r="J100" s="152"/>
      <c r="K100" s="152"/>
      <c r="L100" s="154"/>
      <c r="M100" s="154"/>
      <c r="N100" s="104"/>
      <c r="O100" s="104"/>
      <c r="P100" s="155"/>
      <c r="Q100" s="104"/>
      <c r="R100" s="155"/>
      <c r="S100" s="34"/>
      <c r="T100" s="156"/>
      <c r="U100" s="156"/>
      <c r="V100" s="34"/>
      <c r="W100" s="103"/>
      <c r="X100" s="82"/>
      <c r="Y100" s="34"/>
      <c r="Z100" s="34"/>
      <c r="AA100" s="34"/>
      <c r="AB100" s="104"/>
      <c r="AC100" s="104"/>
      <c r="AD100" s="34"/>
    </row>
    <row r="101" ht="15.75" customHeight="1">
      <c r="A101" s="34"/>
      <c r="B101" s="152"/>
      <c r="C101" s="152"/>
      <c r="D101" s="152"/>
      <c r="E101" s="153"/>
      <c r="F101" s="34"/>
      <c r="G101" s="152"/>
      <c r="H101" s="152"/>
      <c r="I101" s="152"/>
      <c r="J101" s="152"/>
      <c r="K101" s="152"/>
      <c r="L101" s="154"/>
      <c r="M101" s="154"/>
      <c r="N101" s="104"/>
      <c r="O101" s="104"/>
      <c r="P101" s="155"/>
      <c r="Q101" s="104"/>
      <c r="R101" s="155"/>
      <c r="S101" s="34"/>
      <c r="T101" s="156"/>
      <c r="U101" s="156"/>
      <c r="V101" s="34"/>
      <c r="W101" s="103"/>
      <c r="X101" s="82"/>
      <c r="Y101" s="34"/>
      <c r="Z101" s="34"/>
      <c r="AA101" s="34"/>
      <c r="AB101" s="104"/>
      <c r="AC101" s="104"/>
      <c r="AD101" s="34"/>
    </row>
    <row r="102" ht="15.75" customHeight="1">
      <c r="A102" s="34"/>
      <c r="B102" s="152"/>
      <c r="C102" s="152"/>
      <c r="D102" s="152"/>
      <c r="E102" s="153"/>
      <c r="F102" s="34"/>
      <c r="G102" s="152"/>
      <c r="H102" s="152"/>
      <c r="I102" s="152"/>
      <c r="J102" s="152"/>
      <c r="K102" s="152"/>
      <c r="L102" s="154"/>
      <c r="M102" s="154"/>
      <c r="N102" s="104"/>
      <c r="O102" s="104"/>
      <c r="P102" s="155"/>
      <c r="Q102" s="104"/>
      <c r="R102" s="155"/>
      <c r="S102" s="34"/>
      <c r="T102" s="156"/>
      <c r="U102" s="156"/>
      <c r="V102" s="34"/>
      <c r="W102" s="103"/>
      <c r="X102" s="82"/>
      <c r="Y102" s="34"/>
      <c r="Z102" s="34"/>
      <c r="AA102" s="34"/>
      <c r="AB102" s="104"/>
      <c r="AC102" s="104"/>
      <c r="AD102" s="34"/>
    </row>
    <row r="103" ht="15.75" customHeight="1">
      <c r="A103" s="34"/>
      <c r="B103" s="152"/>
      <c r="C103" s="152"/>
      <c r="D103" s="152"/>
      <c r="E103" s="153"/>
      <c r="F103" s="34"/>
      <c r="G103" s="152"/>
      <c r="H103" s="152"/>
      <c r="I103" s="152"/>
      <c r="J103" s="152"/>
      <c r="K103" s="152"/>
      <c r="L103" s="154"/>
      <c r="M103" s="154"/>
      <c r="N103" s="104"/>
      <c r="O103" s="104"/>
      <c r="P103" s="155"/>
      <c r="Q103" s="104"/>
      <c r="R103" s="155"/>
      <c r="S103" s="34"/>
      <c r="T103" s="156"/>
      <c r="U103" s="156"/>
      <c r="V103" s="34"/>
      <c r="W103" s="103"/>
      <c r="X103" s="82"/>
      <c r="Y103" s="34"/>
      <c r="Z103" s="34"/>
      <c r="AA103" s="34"/>
      <c r="AB103" s="104"/>
      <c r="AC103" s="104"/>
      <c r="AD103" s="34"/>
    </row>
    <row r="104" ht="15.75" customHeight="1">
      <c r="A104" s="34"/>
      <c r="B104" s="152"/>
      <c r="C104" s="152"/>
      <c r="D104" s="152"/>
      <c r="E104" s="153"/>
      <c r="F104" s="34"/>
      <c r="G104" s="152"/>
      <c r="H104" s="152"/>
      <c r="I104" s="152"/>
      <c r="J104" s="152"/>
      <c r="K104" s="152"/>
      <c r="L104" s="154"/>
      <c r="M104" s="154"/>
      <c r="N104" s="104"/>
      <c r="O104" s="104"/>
      <c r="P104" s="155"/>
      <c r="Q104" s="104"/>
      <c r="R104" s="155"/>
      <c r="S104" s="34"/>
      <c r="T104" s="156"/>
      <c r="U104" s="156"/>
      <c r="V104" s="34"/>
      <c r="W104" s="103"/>
      <c r="X104" s="82"/>
      <c r="Y104" s="34"/>
      <c r="Z104" s="34"/>
      <c r="AA104" s="34"/>
      <c r="AB104" s="104"/>
      <c r="AC104" s="104"/>
      <c r="AD104" s="34"/>
    </row>
    <row r="105" ht="15.75" customHeight="1">
      <c r="A105" s="34"/>
      <c r="B105" s="152"/>
      <c r="C105" s="152"/>
      <c r="D105" s="152"/>
      <c r="E105" s="153"/>
      <c r="F105" s="34"/>
      <c r="G105" s="152"/>
      <c r="H105" s="152"/>
      <c r="I105" s="152"/>
      <c r="J105" s="152"/>
      <c r="K105" s="152"/>
      <c r="L105" s="154"/>
      <c r="M105" s="154"/>
      <c r="N105" s="104"/>
      <c r="O105" s="104"/>
      <c r="P105" s="155"/>
      <c r="Q105" s="104"/>
      <c r="R105" s="155"/>
      <c r="S105" s="34"/>
      <c r="T105" s="156"/>
      <c r="U105" s="156"/>
      <c r="V105" s="34"/>
      <c r="W105" s="103"/>
      <c r="X105" s="82"/>
      <c r="Y105" s="34"/>
      <c r="Z105" s="34"/>
      <c r="AA105" s="34"/>
      <c r="AB105" s="104"/>
      <c r="AC105" s="104"/>
      <c r="AD105" s="34"/>
    </row>
    <row r="106" ht="15.75" customHeight="1">
      <c r="A106" s="34"/>
      <c r="B106" s="152"/>
      <c r="C106" s="152"/>
      <c r="D106" s="152"/>
      <c r="E106" s="153"/>
      <c r="F106" s="34"/>
      <c r="G106" s="152"/>
      <c r="H106" s="152"/>
      <c r="I106" s="152"/>
      <c r="J106" s="152"/>
      <c r="K106" s="152"/>
      <c r="L106" s="154"/>
      <c r="M106" s="154"/>
      <c r="N106" s="104"/>
      <c r="O106" s="104"/>
      <c r="P106" s="155"/>
      <c r="Q106" s="104"/>
      <c r="R106" s="155"/>
      <c r="S106" s="34"/>
      <c r="T106" s="156"/>
      <c r="U106" s="156"/>
      <c r="V106" s="34"/>
      <c r="W106" s="103"/>
      <c r="X106" s="82"/>
      <c r="Y106" s="34"/>
      <c r="Z106" s="34"/>
      <c r="AA106" s="34"/>
      <c r="AB106" s="104"/>
      <c r="AC106" s="104"/>
      <c r="AD106" s="34"/>
    </row>
    <row r="107" ht="15.75" customHeight="1">
      <c r="A107" s="34"/>
      <c r="B107" s="152"/>
      <c r="C107" s="152"/>
      <c r="D107" s="152"/>
      <c r="E107" s="153"/>
      <c r="F107" s="34"/>
      <c r="G107" s="152"/>
      <c r="H107" s="152"/>
      <c r="I107" s="152"/>
      <c r="J107" s="152"/>
      <c r="K107" s="152"/>
      <c r="L107" s="154"/>
      <c r="M107" s="154"/>
      <c r="N107" s="104"/>
      <c r="O107" s="104"/>
      <c r="P107" s="155"/>
      <c r="Q107" s="104"/>
      <c r="R107" s="155"/>
      <c r="S107" s="34"/>
      <c r="T107" s="156"/>
      <c r="U107" s="156"/>
      <c r="V107" s="34"/>
      <c r="W107" s="103"/>
      <c r="X107" s="82"/>
      <c r="Y107" s="34"/>
      <c r="Z107" s="34"/>
      <c r="AA107" s="34"/>
      <c r="AB107" s="104"/>
      <c r="AC107" s="104"/>
      <c r="AD107" s="34"/>
    </row>
    <row r="108" ht="15.75" customHeight="1">
      <c r="A108" s="34"/>
      <c r="B108" s="152"/>
      <c r="C108" s="152"/>
      <c r="D108" s="152"/>
      <c r="E108" s="153"/>
      <c r="F108" s="34"/>
      <c r="G108" s="152"/>
      <c r="H108" s="152"/>
      <c r="I108" s="152"/>
      <c r="J108" s="152"/>
      <c r="K108" s="152"/>
      <c r="L108" s="154"/>
      <c r="M108" s="154"/>
      <c r="N108" s="104"/>
      <c r="O108" s="104"/>
      <c r="P108" s="155"/>
      <c r="Q108" s="104"/>
      <c r="R108" s="155"/>
      <c r="S108" s="34"/>
      <c r="T108" s="156"/>
      <c r="U108" s="156"/>
      <c r="V108" s="34"/>
      <c r="W108" s="103"/>
      <c r="X108" s="82"/>
      <c r="Y108" s="34"/>
      <c r="Z108" s="34"/>
      <c r="AA108" s="34"/>
      <c r="AB108" s="104"/>
      <c r="AC108" s="104"/>
      <c r="AD108" s="34"/>
    </row>
    <row r="109" ht="15.75" customHeight="1">
      <c r="A109" s="34"/>
      <c r="B109" s="152"/>
      <c r="C109" s="152"/>
      <c r="D109" s="152"/>
      <c r="E109" s="153"/>
      <c r="F109" s="34"/>
      <c r="G109" s="152"/>
      <c r="H109" s="152"/>
      <c r="I109" s="152"/>
      <c r="J109" s="152"/>
      <c r="K109" s="152"/>
      <c r="L109" s="154"/>
      <c r="M109" s="154"/>
      <c r="N109" s="104"/>
      <c r="O109" s="104"/>
      <c r="P109" s="155"/>
      <c r="Q109" s="104"/>
      <c r="R109" s="155"/>
      <c r="S109" s="34"/>
      <c r="T109" s="156"/>
      <c r="U109" s="156"/>
      <c r="V109" s="34"/>
      <c r="W109" s="103"/>
      <c r="X109" s="82"/>
      <c r="Y109" s="34"/>
      <c r="Z109" s="34"/>
      <c r="AA109" s="34"/>
      <c r="AB109" s="104"/>
      <c r="AC109" s="104"/>
      <c r="AD109" s="34"/>
    </row>
    <row r="110" ht="15.75" customHeight="1">
      <c r="A110" s="34"/>
      <c r="B110" s="152"/>
      <c r="C110" s="152"/>
      <c r="D110" s="152"/>
      <c r="E110" s="153"/>
      <c r="F110" s="34"/>
      <c r="G110" s="152"/>
      <c r="H110" s="152"/>
      <c r="I110" s="152"/>
      <c r="J110" s="152"/>
      <c r="K110" s="152"/>
      <c r="L110" s="154"/>
      <c r="M110" s="154"/>
      <c r="N110" s="104"/>
      <c r="O110" s="104"/>
      <c r="P110" s="155"/>
      <c r="Q110" s="104"/>
      <c r="R110" s="155"/>
      <c r="S110" s="34"/>
      <c r="T110" s="156"/>
      <c r="U110" s="156"/>
      <c r="V110" s="34"/>
      <c r="W110" s="103"/>
      <c r="X110" s="82"/>
      <c r="Y110" s="34"/>
      <c r="Z110" s="34"/>
      <c r="AA110" s="34"/>
      <c r="AB110" s="104"/>
      <c r="AC110" s="104"/>
      <c r="AD110" s="34"/>
    </row>
    <row r="111" ht="15.75" customHeight="1">
      <c r="A111" s="34"/>
      <c r="B111" s="152"/>
      <c r="C111" s="152"/>
      <c r="D111" s="152"/>
      <c r="E111" s="153"/>
      <c r="F111" s="34"/>
      <c r="G111" s="152"/>
      <c r="H111" s="152"/>
      <c r="I111" s="152"/>
      <c r="J111" s="152"/>
      <c r="K111" s="152"/>
      <c r="L111" s="154"/>
      <c r="M111" s="154"/>
      <c r="N111" s="104"/>
      <c r="O111" s="104"/>
      <c r="P111" s="155"/>
      <c r="Q111" s="104"/>
      <c r="R111" s="155"/>
      <c r="S111" s="34"/>
      <c r="T111" s="156"/>
      <c r="U111" s="156"/>
      <c r="V111" s="34"/>
      <c r="W111" s="103"/>
      <c r="X111" s="82"/>
      <c r="Y111" s="34"/>
      <c r="Z111" s="34"/>
      <c r="AA111" s="34"/>
      <c r="AB111" s="104"/>
      <c r="AC111" s="104"/>
      <c r="AD111" s="34"/>
    </row>
    <row r="112" ht="15.75" customHeight="1">
      <c r="A112" s="34"/>
      <c r="B112" s="152"/>
      <c r="C112" s="152"/>
      <c r="D112" s="152"/>
      <c r="E112" s="153"/>
      <c r="F112" s="34"/>
      <c r="G112" s="152"/>
      <c r="H112" s="152"/>
      <c r="I112" s="152"/>
      <c r="J112" s="152"/>
      <c r="K112" s="152"/>
      <c r="L112" s="154"/>
      <c r="M112" s="154"/>
      <c r="N112" s="104"/>
      <c r="O112" s="104"/>
      <c r="P112" s="155"/>
      <c r="Q112" s="104"/>
      <c r="R112" s="155"/>
      <c r="S112" s="34"/>
      <c r="T112" s="156"/>
      <c r="U112" s="156"/>
      <c r="V112" s="34"/>
      <c r="W112" s="103"/>
      <c r="X112" s="82"/>
      <c r="Y112" s="34"/>
      <c r="Z112" s="34"/>
      <c r="AA112" s="34"/>
      <c r="AB112" s="104"/>
      <c r="AC112" s="104"/>
      <c r="AD112" s="34"/>
    </row>
    <row r="113" ht="15.75" customHeight="1">
      <c r="A113" s="34"/>
      <c r="B113" s="152"/>
      <c r="C113" s="152"/>
      <c r="D113" s="152"/>
      <c r="E113" s="153"/>
      <c r="F113" s="34"/>
      <c r="G113" s="152"/>
      <c r="H113" s="152"/>
      <c r="I113" s="152"/>
      <c r="J113" s="152"/>
      <c r="K113" s="152"/>
      <c r="L113" s="154"/>
      <c r="M113" s="154"/>
      <c r="N113" s="104"/>
      <c r="O113" s="104"/>
      <c r="P113" s="155"/>
      <c r="Q113" s="104"/>
      <c r="R113" s="155"/>
      <c r="S113" s="34"/>
      <c r="T113" s="156"/>
      <c r="U113" s="156"/>
      <c r="V113" s="34"/>
      <c r="W113" s="103"/>
      <c r="X113" s="82"/>
      <c r="Y113" s="34"/>
      <c r="Z113" s="34"/>
      <c r="AA113" s="34"/>
      <c r="AB113" s="104"/>
      <c r="AC113" s="104"/>
      <c r="AD113" s="34"/>
    </row>
    <row r="114" ht="15.75" customHeight="1">
      <c r="A114" s="34"/>
      <c r="B114" s="152"/>
      <c r="C114" s="152"/>
      <c r="D114" s="152"/>
      <c r="E114" s="153"/>
      <c r="F114" s="34"/>
      <c r="G114" s="152"/>
      <c r="H114" s="152"/>
      <c r="I114" s="152"/>
      <c r="J114" s="152"/>
      <c r="K114" s="152"/>
      <c r="L114" s="154"/>
      <c r="M114" s="154"/>
      <c r="N114" s="104"/>
      <c r="O114" s="104"/>
      <c r="P114" s="155"/>
      <c r="Q114" s="104"/>
      <c r="R114" s="155"/>
      <c r="S114" s="34"/>
      <c r="T114" s="156"/>
      <c r="U114" s="156"/>
      <c r="V114" s="34"/>
      <c r="W114" s="103"/>
      <c r="X114" s="82"/>
      <c r="Y114" s="34"/>
      <c r="Z114" s="34"/>
      <c r="AA114" s="34"/>
      <c r="AB114" s="104"/>
      <c r="AC114" s="104"/>
      <c r="AD114" s="34"/>
    </row>
    <row r="115" ht="15.75" customHeight="1">
      <c r="A115" s="34"/>
      <c r="B115" s="152"/>
      <c r="C115" s="152"/>
      <c r="D115" s="152"/>
      <c r="E115" s="153"/>
      <c r="F115" s="34"/>
      <c r="G115" s="152"/>
      <c r="H115" s="152"/>
      <c r="I115" s="152"/>
      <c r="J115" s="152"/>
      <c r="K115" s="152"/>
      <c r="L115" s="154"/>
      <c r="M115" s="154"/>
      <c r="N115" s="104"/>
      <c r="O115" s="104"/>
      <c r="P115" s="155"/>
      <c r="Q115" s="104"/>
      <c r="R115" s="155"/>
      <c r="S115" s="34"/>
      <c r="T115" s="156"/>
      <c r="U115" s="156"/>
      <c r="V115" s="34"/>
      <c r="W115" s="103"/>
      <c r="X115" s="82"/>
      <c r="Y115" s="34"/>
      <c r="Z115" s="34"/>
      <c r="AA115" s="34"/>
      <c r="AB115" s="104"/>
      <c r="AC115" s="104"/>
      <c r="AD115" s="34"/>
    </row>
    <row r="116" ht="15.75" customHeight="1">
      <c r="A116" s="34"/>
      <c r="B116" s="152"/>
      <c r="C116" s="152"/>
      <c r="D116" s="152"/>
      <c r="E116" s="153"/>
      <c r="F116" s="34"/>
      <c r="G116" s="152"/>
      <c r="H116" s="152"/>
      <c r="I116" s="152"/>
      <c r="J116" s="152"/>
      <c r="K116" s="152"/>
      <c r="L116" s="154"/>
      <c r="M116" s="154"/>
      <c r="N116" s="104"/>
      <c r="O116" s="104"/>
      <c r="P116" s="155"/>
      <c r="Q116" s="104"/>
      <c r="R116" s="155"/>
      <c r="S116" s="34"/>
      <c r="T116" s="156"/>
      <c r="U116" s="156"/>
      <c r="V116" s="34"/>
      <c r="W116" s="103"/>
      <c r="X116" s="82"/>
      <c r="Y116" s="34"/>
      <c r="Z116" s="34"/>
      <c r="AA116" s="34"/>
      <c r="AB116" s="104"/>
      <c r="AC116" s="104"/>
      <c r="AD116" s="34"/>
    </row>
    <row r="117" ht="15.75" customHeight="1">
      <c r="A117" s="34"/>
      <c r="B117" s="152"/>
      <c r="C117" s="152"/>
      <c r="D117" s="152"/>
      <c r="E117" s="153"/>
      <c r="F117" s="34"/>
      <c r="G117" s="152"/>
      <c r="H117" s="152"/>
      <c r="I117" s="152"/>
      <c r="J117" s="152"/>
      <c r="K117" s="152"/>
      <c r="L117" s="154"/>
      <c r="M117" s="154"/>
      <c r="N117" s="104"/>
      <c r="O117" s="104"/>
      <c r="P117" s="155"/>
      <c r="Q117" s="104"/>
      <c r="R117" s="155"/>
      <c r="S117" s="34"/>
      <c r="T117" s="156"/>
      <c r="U117" s="156"/>
      <c r="V117" s="34"/>
      <c r="W117" s="103"/>
      <c r="X117" s="82"/>
      <c r="Y117" s="34"/>
      <c r="Z117" s="34"/>
      <c r="AA117" s="34"/>
      <c r="AB117" s="104"/>
      <c r="AC117" s="104"/>
      <c r="AD117" s="34"/>
    </row>
    <row r="118" ht="15.75" customHeight="1">
      <c r="A118" s="34"/>
      <c r="B118" s="152"/>
      <c r="C118" s="152"/>
      <c r="D118" s="152"/>
      <c r="E118" s="153"/>
      <c r="F118" s="34"/>
      <c r="G118" s="152"/>
      <c r="H118" s="152"/>
      <c r="I118" s="152"/>
      <c r="J118" s="152"/>
      <c r="K118" s="152"/>
      <c r="L118" s="154"/>
      <c r="M118" s="154"/>
      <c r="N118" s="104"/>
      <c r="O118" s="104"/>
      <c r="P118" s="155"/>
      <c r="Q118" s="104"/>
      <c r="R118" s="155"/>
      <c r="S118" s="34"/>
      <c r="T118" s="156"/>
      <c r="U118" s="156"/>
      <c r="V118" s="34"/>
      <c r="W118" s="103"/>
      <c r="X118" s="82"/>
      <c r="Y118" s="34"/>
      <c r="Z118" s="34"/>
      <c r="AA118" s="34"/>
      <c r="AB118" s="104"/>
      <c r="AC118" s="104"/>
      <c r="AD118" s="34"/>
    </row>
    <row r="119" ht="15.75" customHeight="1">
      <c r="A119" s="34"/>
      <c r="B119" s="152"/>
      <c r="C119" s="152"/>
      <c r="D119" s="152"/>
      <c r="E119" s="153"/>
      <c r="F119" s="34"/>
      <c r="G119" s="152"/>
      <c r="H119" s="152"/>
      <c r="I119" s="152"/>
      <c r="J119" s="152"/>
      <c r="K119" s="152"/>
      <c r="L119" s="154"/>
      <c r="M119" s="154"/>
      <c r="N119" s="104"/>
      <c r="O119" s="104"/>
      <c r="P119" s="155"/>
      <c r="Q119" s="104"/>
      <c r="R119" s="155"/>
      <c r="S119" s="34"/>
      <c r="T119" s="156"/>
      <c r="U119" s="156"/>
      <c r="V119" s="34"/>
      <c r="W119" s="103"/>
      <c r="X119" s="82"/>
      <c r="Y119" s="34"/>
      <c r="Z119" s="34"/>
      <c r="AA119" s="34"/>
      <c r="AB119" s="104"/>
      <c r="AC119" s="104"/>
      <c r="AD119" s="34"/>
    </row>
    <row r="120" ht="15.75" customHeight="1">
      <c r="A120" s="34"/>
      <c r="B120" s="152"/>
      <c r="C120" s="152"/>
      <c r="D120" s="152"/>
      <c r="E120" s="153"/>
      <c r="F120" s="34"/>
      <c r="G120" s="152"/>
      <c r="H120" s="152"/>
      <c r="I120" s="152"/>
      <c r="J120" s="152"/>
      <c r="K120" s="152"/>
      <c r="L120" s="154"/>
      <c r="M120" s="154"/>
      <c r="N120" s="104"/>
      <c r="O120" s="104"/>
      <c r="P120" s="155"/>
      <c r="Q120" s="104"/>
      <c r="R120" s="155"/>
      <c r="S120" s="34"/>
      <c r="T120" s="156"/>
      <c r="U120" s="156"/>
      <c r="V120" s="34"/>
      <c r="W120" s="103"/>
      <c r="X120" s="82"/>
      <c r="Y120" s="34"/>
      <c r="Z120" s="34"/>
      <c r="AA120" s="34"/>
      <c r="AB120" s="104"/>
      <c r="AC120" s="104"/>
      <c r="AD120" s="34"/>
    </row>
    <row r="121" ht="15.75" customHeight="1">
      <c r="A121" s="34"/>
      <c r="B121" s="152"/>
      <c r="C121" s="152"/>
      <c r="D121" s="152"/>
      <c r="E121" s="153"/>
      <c r="F121" s="34"/>
      <c r="G121" s="152"/>
      <c r="H121" s="152"/>
      <c r="I121" s="152"/>
      <c r="J121" s="152"/>
      <c r="K121" s="152"/>
      <c r="L121" s="154"/>
      <c r="M121" s="154"/>
      <c r="N121" s="104"/>
      <c r="O121" s="104"/>
      <c r="P121" s="155"/>
      <c r="Q121" s="104"/>
      <c r="R121" s="155"/>
      <c r="S121" s="34"/>
      <c r="T121" s="156"/>
      <c r="U121" s="156"/>
      <c r="V121" s="34"/>
      <c r="W121" s="103"/>
      <c r="X121" s="82"/>
      <c r="Y121" s="34"/>
      <c r="Z121" s="34"/>
      <c r="AA121" s="34"/>
      <c r="AB121" s="104"/>
      <c r="AC121" s="104"/>
      <c r="AD121" s="34"/>
    </row>
    <row r="122" ht="15.75" customHeight="1">
      <c r="A122" s="34"/>
      <c r="B122" s="152"/>
      <c r="C122" s="152"/>
      <c r="D122" s="152"/>
      <c r="E122" s="153"/>
      <c r="F122" s="34"/>
      <c r="G122" s="152"/>
      <c r="H122" s="152"/>
      <c r="I122" s="152"/>
      <c r="J122" s="152"/>
      <c r="K122" s="152"/>
      <c r="L122" s="154"/>
      <c r="M122" s="154"/>
      <c r="N122" s="104"/>
      <c r="O122" s="104"/>
      <c r="P122" s="155"/>
      <c r="Q122" s="104"/>
      <c r="R122" s="155"/>
      <c r="S122" s="34"/>
      <c r="T122" s="156"/>
      <c r="U122" s="156"/>
      <c r="V122" s="34"/>
      <c r="W122" s="103"/>
      <c r="X122" s="82"/>
      <c r="Y122" s="34"/>
      <c r="Z122" s="34"/>
      <c r="AA122" s="34"/>
      <c r="AB122" s="104"/>
      <c r="AC122" s="104"/>
      <c r="AD122" s="34"/>
    </row>
    <row r="123" ht="15.75" customHeight="1">
      <c r="A123" s="34"/>
      <c r="B123" s="152"/>
      <c r="C123" s="152"/>
      <c r="D123" s="152"/>
      <c r="E123" s="153"/>
      <c r="F123" s="34"/>
      <c r="G123" s="152"/>
      <c r="H123" s="152"/>
      <c r="I123" s="152"/>
      <c r="J123" s="152"/>
      <c r="K123" s="152"/>
      <c r="L123" s="154"/>
      <c r="M123" s="154"/>
      <c r="N123" s="104"/>
      <c r="O123" s="104"/>
      <c r="P123" s="155"/>
      <c r="Q123" s="104"/>
      <c r="R123" s="155"/>
      <c r="S123" s="34"/>
      <c r="T123" s="156"/>
      <c r="U123" s="156"/>
      <c r="V123" s="34"/>
      <c r="W123" s="103"/>
      <c r="X123" s="82"/>
      <c r="Y123" s="34"/>
      <c r="Z123" s="34"/>
      <c r="AA123" s="34"/>
      <c r="AB123" s="104"/>
      <c r="AC123" s="104"/>
      <c r="AD123" s="34"/>
    </row>
    <row r="124" ht="15.75" customHeight="1">
      <c r="A124" s="34"/>
      <c r="B124" s="152"/>
      <c r="C124" s="152"/>
      <c r="D124" s="152"/>
      <c r="E124" s="153"/>
      <c r="F124" s="34"/>
      <c r="G124" s="152"/>
      <c r="H124" s="152"/>
      <c r="I124" s="152"/>
      <c r="J124" s="152"/>
      <c r="K124" s="152"/>
      <c r="L124" s="154"/>
      <c r="M124" s="154"/>
      <c r="N124" s="104"/>
      <c r="O124" s="104"/>
      <c r="P124" s="155"/>
      <c r="Q124" s="104"/>
      <c r="R124" s="155"/>
      <c r="S124" s="34"/>
      <c r="T124" s="156"/>
      <c r="U124" s="156"/>
      <c r="V124" s="34"/>
      <c r="W124" s="103"/>
      <c r="X124" s="82"/>
      <c r="Y124" s="34"/>
      <c r="Z124" s="34"/>
      <c r="AA124" s="34"/>
      <c r="AB124" s="104"/>
      <c r="AC124" s="104"/>
      <c r="AD124" s="34"/>
    </row>
    <row r="125" ht="15.75" customHeight="1">
      <c r="A125" s="34"/>
      <c r="B125" s="152"/>
      <c r="C125" s="152"/>
      <c r="D125" s="152"/>
      <c r="E125" s="153"/>
      <c r="F125" s="34"/>
      <c r="G125" s="152"/>
      <c r="H125" s="152"/>
      <c r="I125" s="152"/>
      <c r="J125" s="152"/>
      <c r="K125" s="152"/>
      <c r="L125" s="154"/>
      <c r="M125" s="154"/>
      <c r="N125" s="104"/>
      <c r="O125" s="104"/>
      <c r="P125" s="155"/>
      <c r="Q125" s="104"/>
      <c r="R125" s="155"/>
      <c r="S125" s="34"/>
      <c r="T125" s="156"/>
      <c r="U125" s="156"/>
      <c r="V125" s="34"/>
      <c r="W125" s="103"/>
      <c r="X125" s="82"/>
      <c r="Y125" s="34"/>
      <c r="Z125" s="34"/>
      <c r="AA125" s="34"/>
      <c r="AB125" s="104"/>
      <c r="AC125" s="104"/>
      <c r="AD125" s="34"/>
    </row>
    <row r="126" ht="15.75" customHeight="1">
      <c r="A126" s="34"/>
      <c r="B126" s="152"/>
      <c r="C126" s="152"/>
      <c r="D126" s="152"/>
      <c r="E126" s="153"/>
      <c r="F126" s="34"/>
      <c r="G126" s="152"/>
      <c r="H126" s="152"/>
      <c r="I126" s="152"/>
      <c r="J126" s="152"/>
      <c r="K126" s="152"/>
      <c r="L126" s="154"/>
      <c r="M126" s="154"/>
      <c r="N126" s="104"/>
      <c r="O126" s="104"/>
      <c r="P126" s="155"/>
      <c r="Q126" s="104"/>
      <c r="R126" s="155"/>
      <c r="S126" s="34"/>
      <c r="T126" s="156"/>
      <c r="U126" s="156"/>
      <c r="V126" s="34"/>
      <c r="W126" s="103"/>
      <c r="X126" s="82"/>
      <c r="Y126" s="34"/>
      <c r="Z126" s="34"/>
      <c r="AA126" s="34"/>
      <c r="AB126" s="104"/>
      <c r="AC126" s="104"/>
      <c r="AD126" s="34"/>
    </row>
    <row r="127" ht="15.75" customHeight="1">
      <c r="A127" s="34"/>
      <c r="B127" s="152"/>
      <c r="C127" s="152"/>
      <c r="D127" s="152"/>
      <c r="E127" s="153"/>
      <c r="F127" s="34"/>
      <c r="G127" s="152"/>
      <c r="H127" s="152"/>
      <c r="I127" s="152"/>
      <c r="J127" s="152"/>
      <c r="K127" s="152"/>
      <c r="L127" s="154"/>
      <c r="M127" s="154"/>
      <c r="N127" s="104"/>
      <c r="O127" s="104"/>
      <c r="P127" s="155"/>
      <c r="Q127" s="104"/>
      <c r="R127" s="155"/>
      <c r="S127" s="34"/>
      <c r="T127" s="156"/>
      <c r="U127" s="156"/>
      <c r="V127" s="34"/>
      <c r="W127" s="103"/>
      <c r="X127" s="82"/>
      <c r="Y127" s="34"/>
      <c r="Z127" s="34"/>
      <c r="AA127" s="34"/>
      <c r="AB127" s="104"/>
      <c r="AC127" s="104"/>
      <c r="AD127" s="34"/>
    </row>
    <row r="128" ht="15.75" customHeight="1">
      <c r="A128" s="34"/>
      <c r="B128" s="152"/>
      <c r="C128" s="152"/>
      <c r="D128" s="152"/>
      <c r="E128" s="153"/>
      <c r="F128" s="34"/>
      <c r="G128" s="152"/>
      <c r="H128" s="152"/>
      <c r="I128" s="152"/>
      <c r="J128" s="152"/>
      <c r="K128" s="152"/>
      <c r="L128" s="154"/>
      <c r="M128" s="154"/>
      <c r="N128" s="104"/>
      <c r="O128" s="104"/>
      <c r="P128" s="155"/>
      <c r="Q128" s="104"/>
      <c r="R128" s="155"/>
      <c r="S128" s="34"/>
      <c r="T128" s="156"/>
      <c r="U128" s="156"/>
      <c r="V128" s="34"/>
      <c r="W128" s="103"/>
      <c r="X128" s="82"/>
      <c r="Y128" s="34"/>
      <c r="Z128" s="34"/>
      <c r="AA128" s="34"/>
      <c r="AB128" s="104"/>
      <c r="AC128" s="104"/>
      <c r="AD128" s="34"/>
    </row>
    <row r="129" ht="15.75" customHeight="1">
      <c r="A129" s="34"/>
      <c r="B129" s="152"/>
      <c r="C129" s="152"/>
      <c r="D129" s="152"/>
      <c r="E129" s="153"/>
      <c r="F129" s="34"/>
      <c r="G129" s="152"/>
      <c r="H129" s="152"/>
      <c r="I129" s="152"/>
      <c r="J129" s="152"/>
      <c r="K129" s="152"/>
      <c r="L129" s="154"/>
      <c r="M129" s="154"/>
      <c r="N129" s="104"/>
      <c r="O129" s="104"/>
      <c r="P129" s="155"/>
      <c r="Q129" s="104"/>
      <c r="R129" s="155"/>
      <c r="S129" s="34"/>
      <c r="T129" s="156"/>
      <c r="U129" s="156"/>
      <c r="V129" s="34"/>
      <c r="W129" s="103"/>
      <c r="X129" s="82"/>
      <c r="Y129" s="34"/>
      <c r="Z129" s="34"/>
      <c r="AA129" s="34"/>
      <c r="AB129" s="104"/>
      <c r="AC129" s="104"/>
      <c r="AD129" s="34"/>
    </row>
    <row r="130" ht="15.75" customHeight="1">
      <c r="A130" s="34"/>
      <c r="B130" s="152"/>
      <c r="C130" s="152"/>
      <c r="D130" s="152"/>
      <c r="E130" s="153"/>
      <c r="F130" s="34"/>
      <c r="G130" s="152"/>
      <c r="H130" s="152"/>
      <c r="I130" s="152"/>
      <c r="J130" s="152"/>
      <c r="K130" s="152"/>
      <c r="L130" s="154"/>
      <c r="M130" s="154"/>
      <c r="N130" s="104"/>
      <c r="O130" s="104"/>
      <c r="P130" s="155"/>
      <c r="Q130" s="104"/>
      <c r="R130" s="155"/>
      <c r="S130" s="34"/>
      <c r="T130" s="156"/>
      <c r="U130" s="156"/>
      <c r="V130" s="34"/>
      <c r="W130" s="103"/>
      <c r="X130" s="82"/>
      <c r="Y130" s="34"/>
      <c r="Z130" s="34"/>
      <c r="AA130" s="34"/>
      <c r="AB130" s="104"/>
      <c r="AC130" s="104"/>
      <c r="AD130" s="34"/>
    </row>
    <row r="131" ht="15.75" customHeight="1">
      <c r="A131" s="34"/>
      <c r="B131" s="152"/>
      <c r="C131" s="152"/>
      <c r="D131" s="152"/>
      <c r="E131" s="153"/>
      <c r="F131" s="34"/>
      <c r="G131" s="152"/>
      <c r="H131" s="152"/>
      <c r="I131" s="152"/>
      <c r="J131" s="152"/>
      <c r="K131" s="152"/>
      <c r="L131" s="154"/>
      <c r="M131" s="154"/>
      <c r="N131" s="104"/>
      <c r="O131" s="104"/>
      <c r="P131" s="155"/>
      <c r="Q131" s="104"/>
      <c r="R131" s="155"/>
      <c r="S131" s="34"/>
      <c r="T131" s="156"/>
      <c r="U131" s="156"/>
      <c r="V131" s="34"/>
      <c r="W131" s="103"/>
      <c r="X131" s="82"/>
      <c r="Y131" s="34"/>
      <c r="Z131" s="34"/>
      <c r="AA131" s="34"/>
      <c r="AB131" s="104"/>
      <c r="AC131" s="104"/>
      <c r="AD131" s="34"/>
    </row>
    <row r="132" ht="15.75" customHeight="1">
      <c r="A132" s="34"/>
      <c r="B132" s="152"/>
      <c r="C132" s="152"/>
      <c r="D132" s="152"/>
      <c r="E132" s="153"/>
      <c r="F132" s="34"/>
      <c r="G132" s="152"/>
      <c r="H132" s="152"/>
      <c r="I132" s="152"/>
      <c r="J132" s="152"/>
      <c r="K132" s="152"/>
      <c r="L132" s="154"/>
      <c r="M132" s="154"/>
      <c r="N132" s="104"/>
      <c r="O132" s="104"/>
      <c r="P132" s="155"/>
      <c r="Q132" s="104"/>
      <c r="R132" s="155"/>
      <c r="S132" s="34"/>
      <c r="T132" s="156"/>
      <c r="U132" s="156"/>
      <c r="V132" s="34"/>
      <c r="W132" s="103"/>
      <c r="X132" s="82"/>
      <c r="Y132" s="34"/>
      <c r="Z132" s="34"/>
      <c r="AA132" s="34"/>
      <c r="AB132" s="104"/>
      <c r="AC132" s="104"/>
      <c r="AD132" s="34"/>
    </row>
    <row r="133" ht="15.75" customHeight="1">
      <c r="A133" s="34"/>
      <c r="B133" s="152"/>
      <c r="C133" s="152"/>
      <c r="D133" s="152"/>
      <c r="E133" s="153"/>
      <c r="F133" s="34"/>
      <c r="G133" s="152"/>
      <c r="H133" s="152"/>
      <c r="I133" s="152"/>
      <c r="J133" s="152"/>
      <c r="K133" s="152"/>
      <c r="L133" s="154"/>
      <c r="M133" s="154"/>
      <c r="N133" s="104"/>
      <c r="O133" s="104"/>
      <c r="P133" s="155"/>
      <c r="Q133" s="104"/>
      <c r="R133" s="155"/>
      <c r="S133" s="34"/>
      <c r="T133" s="156"/>
      <c r="U133" s="156"/>
      <c r="V133" s="34"/>
      <c r="W133" s="103"/>
      <c r="X133" s="82"/>
      <c r="Y133" s="34"/>
      <c r="Z133" s="34"/>
      <c r="AA133" s="34"/>
      <c r="AB133" s="104"/>
      <c r="AC133" s="104"/>
      <c r="AD133" s="34"/>
    </row>
    <row r="134" ht="15.75" customHeight="1">
      <c r="A134" s="34"/>
      <c r="B134" s="152"/>
      <c r="C134" s="152"/>
      <c r="D134" s="152"/>
      <c r="E134" s="153"/>
      <c r="F134" s="34"/>
      <c r="G134" s="152"/>
      <c r="H134" s="152"/>
      <c r="I134" s="152"/>
      <c r="J134" s="152"/>
      <c r="K134" s="152"/>
      <c r="L134" s="154"/>
      <c r="M134" s="154"/>
      <c r="N134" s="104"/>
      <c r="O134" s="104"/>
      <c r="P134" s="155"/>
      <c r="Q134" s="104"/>
      <c r="R134" s="155"/>
      <c r="S134" s="34"/>
      <c r="T134" s="156"/>
      <c r="U134" s="156"/>
      <c r="V134" s="34"/>
      <c r="W134" s="103"/>
      <c r="X134" s="82"/>
      <c r="Y134" s="34"/>
      <c r="Z134" s="34"/>
      <c r="AA134" s="34"/>
      <c r="AB134" s="104"/>
      <c r="AC134" s="104"/>
      <c r="AD134" s="34"/>
    </row>
    <row r="135" ht="15.75" customHeight="1">
      <c r="A135" s="34"/>
      <c r="B135" s="152"/>
      <c r="C135" s="152"/>
      <c r="D135" s="152"/>
      <c r="E135" s="153"/>
      <c r="F135" s="34"/>
      <c r="G135" s="152"/>
      <c r="H135" s="152"/>
      <c r="I135" s="152"/>
      <c r="J135" s="152"/>
      <c r="K135" s="152"/>
      <c r="L135" s="154"/>
      <c r="M135" s="154"/>
      <c r="N135" s="104"/>
      <c r="O135" s="104"/>
      <c r="P135" s="155"/>
      <c r="Q135" s="104"/>
      <c r="R135" s="155"/>
      <c r="S135" s="34"/>
      <c r="T135" s="156"/>
      <c r="U135" s="156"/>
      <c r="V135" s="34"/>
      <c r="W135" s="103"/>
      <c r="X135" s="82"/>
      <c r="Y135" s="34"/>
      <c r="Z135" s="34"/>
      <c r="AA135" s="34"/>
      <c r="AB135" s="104"/>
      <c r="AC135" s="104"/>
      <c r="AD135" s="34"/>
    </row>
    <row r="136" ht="15.75" customHeight="1">
      <c r="A136" s="34"/>
      <c r="B136" s="152"/>
      <c r="C136" s="152"/>
      <c r="D136" s="152"/>
      <c r="E136" s="153"/>
      <c r="F136" s="34"/>
      <c r="G136" s="152"/>
      <c r="H136" s="152"/>
      <c r="I136" s="152"/>
      <c r="J136" s="152"/>
      <c r="K136" s="152"/>
      <c r="L136" s="154"/>
      <c r="M136" s="154"/>
      <c r="N136" s="104"/>
      <c r="O136" s="104"/>
      <c r="P136" s="155"/>
      <c r="Q136" s="104"/>
      <c r="R136" s="155"/>
      <c r="S136" s="34"/>
      <c r="T136" s="156"/>
      <c r="U136" s="156"/>
      <c r="V136" s="34"/>
      <c r="W136" s="103"/>
      <c r="X136" s="82"/>
      <c r="Y136" s="34"/>
      <c r="Z136" s="34"/>
      <c r="AA136" s="34"/>
      <c r="AB136" s="104"/>
      <c r="AC136" s="104"/>
      <c r="AD136" s="34"/>
    </row>
    <row r="137" ht="15.75" customHeight="1">
      <c r="A137" s="34"/>
      <c r="B137" s="152"/>
      <c r="C137" s="152"/>
      <c r="D137" s="152"/>
      <c r="E137" s="153"/>
      <c r="F137" s="34"/>
      <c r="G137" s="152"/>
      <c r="H137" s="152"/>
      <c r="I137" s="152"/>
      <c r="J137" s="152"/>
      <c r="K137" s="152"/>
      <c r="L137" s="154"/>
      <c r="M137" s="154"/>
      <c r="N137" s="104"/>
      <c r="O137" s="104"/>
      <c r="P137" s="155"/>
      <c r="Q137" s="104"/>
      <c r="R137" s="155"/>
      <c r="S137" s="34"/>
      <c r="T137" s="156"/>
      <c r="U137" s="156"/>
      <c r="V137" s="34"/>
      <c r="W137" s="103"/>
      <c r="X137" s="82"/>
      <c r="Y137" s="34"/>
      <c r="Z137" s="34"/>
      <c r="AA137" s="34"/>
      <c r="AB137" s="104"/>
      <c r="AC137" s="104"/>
      <c r="AD137" s="34"/>
    </row>
    <row r="138" ht="15.75" customHeight="1">
      <c r="A138" s="34"/>
      <c r="B138" s="152"/>
      <c r="C138" s="152"/>
      <c r="D138" s="152"/>
      <c r="E138" s="153"/>
      <c r="F138" s="34"/>
      <c r="G138" s="152"/>
      <c r="H138" s="152"/>
      <c r="I138" s="152"/>
      <c r="J138" s="152"/>
      <c r="K138" s="152"/>
      <c r="L138" s="154"/>
      <c r="M138" s="154"/>
      <c r="N138" s="104"/>
      <c r="O138" s="104"/>
      <c r="P138" s="155"/>
      <c r="Q138" s="104"/>
      <c r="R138" s="155"/>
      <c r="S138" s="34"/>
      <c r="T138" s="156"/>
      <c r="U138" s="156"/>
      <c r="V138" s="34"/>
      <c r="W138" s="103"/>
      <c r="X138" s="82"/>
      <c r="Y138" s="34"/>
      <c r="Z138" s="34"/>
      <c r="AA138" s="34"/>
      <c r="AB138" s="104"/>
      <c r="AC138" s="104"/>
      <c r="AD138" s="34"/>
    </row>
    <row r="139" ht="15.75" customHeight="1">
      <c r="A139" s="34"/>
      <c r="B139" s="152"/>
      <c r="C139" s="152"/>
      <c r="D139" s="152"/>
      <c r="E139" s="153"/>
      <c r="F139" s="34"/>
      <c r="G139" s="152"/>
      <c r="H139" s="152"/>
      <c r="I139" s="152"/>
      <c r="J139" s="152"/>
      <c r="K139" s="152"/>
      <c r="L139" s="154"/>
      <c r="M139" s="154"/>
      <c r="N139" s="104"/>
      <c r="O139" s="104"/>
      <c r="P139" s="155"/>
      <c r="Q139" s="104"/>
      <c r="R139" s="155"/>
      <c r="S139" s="34"/>
      <c r="T139" s="156"/>
      <c r="U139" s="156"/>
      <c r="V139" s="34"/>
      <c r="W139" s="103"/>
      <c r="X139" s="82"/>
      <c r="Y139" s="34"/>
      <c r="Z139" s="34"/>
      <c r="AA139" s="34"/>
      <c r="AB139" s="104"/>
      <c r="AC139" s="104"/>
      <c r="AD139" s="34"/>
    </row>
    <row r="140" ht="15.75" customHeight="1">
      <c r="A140" s="34"/>
      <c r="B140" s="152"/>
      <c r="C140" s="152"/>
      <c r="D140" s="152"/>
      <c r="E140" s="153"/>
      <c r="F140" s="34"/>
      <c r="G140" s="152"/>
      <c r="H140" s="152"/>
      <c r="I140" s="152"/>
      <c r="J140" s="152"/>
      <c r="K140" s="152"/>
      <c r="L140" s="154"/>
      <c r="M140" s="154"/>
      <c r="N140" s="104"/>
      <c r="O140" s="104"/>
      <c r="P140" s="155"/>
      <c r="Q140" s="104"/>
      <c r="R140" s="155"/>
      <c r="S140" s="34"/>
      <c r="T140" s="156"/>
      <c r="U140" s="156"/>
      <c r="V140" s="34"/>
      <c r="W140" s="103"/>
      <c r="X140" s="82"/>
      <c r="Y140" s="34"/>
      <c r="Z140" s="34"/>
      <c r="AA140" s="34"/>
      <c r="AB140" s="104"/>
      <c r="AC140" s="104"/>
      <c r="AD140" s="34"/>
    </row>
    <row r="141" ht="15.75" customHeight="1">
      <c r="A141" s="34"/>
      <c r="B141" s="152"/>
      <c r="C141" s="152"/>
      <c r="D141" s="152"/>
      <c r="E141" s="153"/>
      <c r="F141" s="34"/>
      <c r="G141" s="152"/>
      <c r="H141" s="152"/>
      <c r="I141" s="152"/>
      <c r="J141" s="152"/>
      <c r="K141" s="152"/>
      <c r="L141" s="154"/>
      <c r="M141" s="154"/>
      <c r="N141" s="104"/>
      <c r="O141" s="104"/>
      <c r="P141" s="155"/>
      <c r="Q141" s="104"/>
      <c r="R141" s="155"/>
      <c r="S141" s="34"/>
      <c r="T141" s="156"/>
      <c r="U141" s="156"/>
      <c r="V141" s="34"/>
      <c r="W141" s="103"/>
      <c r="X141" s="82"/>
      <c r="Y141" s="34"/>
      <c r="Z141" s="34"/>
      <c r="AA141" s="34"/>
      <c r="AB141" s="104"/>
      <c r="AC141" s="104"/>
      <c r="AD141" s="34"/>
    </row>
    <row r="142" ht="15.75" customHeight="1">
      <c r="A142" s="34"/>
      <c r="B142" s="152"/>
      <c r="C142" s="152"/>
      <c r="D142" s="152"/>
      <c r="E142" s="153"/>
      <c r="F142" s="34"/>
      <c r="G142" s="152"/>
      <c r="H142" s="152"/>
      <c r="I142" s="152"/>
      <c r="J142" s="152"/>
      <c r="K142" s="152"/>
      <c r="L142" s="154"/>
      <c r="M142" s="154"/>
      <c r="N142" s="104"/>
      <c r="O142" s="104"/>
      <c r="P142" s="155"/>
      <c r="Q142" s="104"/>
      <c r="R142" s="155"/>
      <c r="S142" s="34"/>
      <c r="T142" s="156"/>
      <c r="U142" s="156"/>
      <c r="V142" s="34"/>
      <c r="W142" s="103"/>
      <c r="X142" s="82"/>
      <c r="Y142" s="34"/>
      <c r="Z142" s="34"/>
      <c r="AA142" s="34"/>
      <c r="AB142" s="104"/>
      <c r="AC142" s="104"/>
      <c r="AD142" s="34"/>
    </row>
    <row r="143" ht="15.75" customHeight="1">
      <c r="A143" s="34"/>
      <c r="B143" s="152"/>
      <c r="C143" s="152"/>
      <c r="D143" s="152"/>
      <c r="E143" s="153"/>
      <c r="F143" s="34"/>
      <c r="G143" s="152"/>
      <c r="H143" s="152"/>
      <c r="I143" s="152"/>
      <c r="J143" s="152"/>
      <c r="K143" s="152"/>
      <c r="L143" s="154"/>
      <c r="M143" s="154"/>
      <c r="N143" s="104"/>
      <c r="O143" s="104"/>
      <c r="P143" s="155"/>
      <c r="Q143" s="104"/>
      <c r="R143" s="155"/>
      <c r="S143" s="34"/>
      <c r="T143" s="156"/>
      <c r="U143" s="156"/>
      <c r="V143" s="34"/>
      <c r="W143" s="103"/>
      <c r="X143" s="82"/>
      <c r="Y143" s="34"/>
      <c r="Z143" s="34"/>
      <c r="AA143" s="34"/>
      <c r="AB143" s="104"/>
      <c r="AC143" s="104"/>
      <c r="AD143" s="34"/>
    </row>
    <row r="144" ht="15.75" customHeight="1">
      <c r="A144" s="34"/>
      <c r="B144" s="152"/>
      <c r="C144" s="152"/>
      <c r="D144" s="152"/>
      <c r="E144" s="153"/>
      <c r="F144" s="34"/>
      <c r="G144" s="152"/>
      <c r="H144" s="152"/>
      <c r="I144" s="152"/>
      <c r="J144" s="152"/>
      <c r="K144" s="152"/>
      <c r="L144" s="154"/>
      <c r="M144" s="154"/>
      <c r="N144" s="104"/>
      <c r="O144" s="104"/>
      <c r="P144" s="155"/>
      <c r="Q144" s="104"/>
      <c r="R144" s="155"/>
      <c r="S144" s="34"/>
      <c r="T144" s="156"/>
      <c r="U144" s="156"/>
      <c r="V144" s="34"/>
      <c r="W144" s="103"/>
      <c r="X144" s="82"/>
      <c r="Y144" s="34"/>
      <c r="Z144" s="34"/>
      <c r="AA144" s="34"/>
      <c r="AB144" s="104"/>
      <c r="AC144" s="104"/>
      <c r="AD144" s="34"/>
    </row>
    <row r="145" ht="15.75" customHeight="1">
      <c r="A145" s="34"/>
      <c r="B145" s="152"/>
      <c r="C145" s="152"/>
      <c r="D145" s="152"/>
      <c r="E145" s="153"/>
      <c r="F145" s="34"/>
      <c r="G145" s="152"/>
      <c r="H145" s="152"/>
      <c r="I145" s="152"/>
      <c r="J145" s="152"/>
      <c r="K145" s="152"/>
      <c r="L145" s="154"/>
      <c r="M145" s="154"/>
      <c r="N145" s="104"/>
      <c r="O145" s="104"/>
      <c r="P145" s="155"/>
      <c r="Q145" s="104"/>
      <c r="R145" s="155"/>
      <c r="S145" s="34"/>
      <c r="T145" s="156"/>
      <c r="U145" s="156"/>
      <c r="V145" s="34"/>
      <c r="W145" s="103"/>
      <c r="X145" s="82"/>
      <c r="Y145" s="34"/>
      <c r="Z145" s="34"/>
      <c r="AA145" s="34"/>
      <c r="AB145" s="104"/>
      <c r="AC145" s="104"/>
      <c r="AD145" s="34"/>
    </row>
    <row r="146" ht="15.75" customHeight="1">
      <c r="A146" s="34"/>
      <c r="B146" s="152"/>
      <c r="C146" s="152"/>
      <c r="D146" s="152"/>
      <c r="E146" s="153"/>
      <c r="F146" s="34"/>
      <c r="G146" s="152"/>
      <c r="H146" s="152"/>
      <c r="I146" s="152"/>
      <c r="J146" s="152"/>
      <c r="K146" s="152"/>
      <c r="L146" s="154"/>
      <c r="M146" s="154"/>
      <c r="N146" s="104"/>
      <c r="O146" s="104"/>
      <c r="P146" s="155"/>
      <c r="Q146" s="104"/>
      <c r="R146" s="155"/>
      <c r="S146" s="34"/>
      <c r="T146" s="156"/>
      <c r="U146" s="156"/>
      <c r="V146" s="34"/>
      <c r="W146" s="103"/>
      <c r="X146" s="82"/>
      <c r="Y146" s="34"/>
      <c r="Z146" s="34"/>
      <c r="AA146" s="34"/>
      <c r="AB146" s="104"/>
      <c r="AC146" s="104"/>
      <c r="AD146" s="34"/>
    </row>
    <row r="147" ht="15.75" customHeight="1">
      <c r="A147" s="34"/>
      <c r="B147" s="152"/>
      <c r="C147" s="152"/>
      <c r="D147" s="152"/>
      <c r="E147" s="153"/>
      <c r="F147" s="34"/>
      <c r="G147" s="152"/>
      <c r="H147" s="152"/>
      <c r="I147" s="152"/>
      <c r="J147" s="152"/>
      <c r="K147" s="152"/>
      <c r="L147" s="154"/>
      <c r="M147" s="154"/>
      <c r="N147" s="104"/>
      <c r="O147" s="104"/>
      <c r="P147" s="155"/>
      <c r="Q147" s="104"/>
      <c r="R147" s="155"/>
      <c r="S147" s="34"/>
      <c r="T147" s="156"/>
      <c r="U147" s="156"/>
      <c r="V147" s="34"/>
      <c r="W147" s="103"/>
      <c r="X147" s="82"/>
      <c r="Y147" s="34"/>
      <c r="Z147" s="34"/>
      <c r="AA147" s="34"/>
      <c r="AB147" s="104"/>
      <c r="AC147" s="104"/>
      <c r="AD147" s="34"/>
    </row>
    <row r="148" ht="15.75" customHeight="1">
      <c r="A148" s="34"/>
      <c r="B148" s="152"/>
      <c r="C148" s="152"/>
      <c r="D148" s="152"/>
      <c r="E148" s="153"/>
      <c r="F148" s="34"/>
      <c r="G148" s="152"/>
      <c r="H148" s="152"/>
      <c r="I148" s="152"/>
      <c r="J148" s="152"/>
      <c r="K148" s="152"/>
      <c r="L148" s="154"/>
      <c r="M148" s="154"/>
      <c r="N148" s="104"/>
      <c r="O148" s="104"/>
      <c r="P148" s="155"/>
      <c r="Q148" s="104"/>
      <c r="R148" s="155"/>
      <c r="S148" s="34"/>
      <c r="T148" s="156"/>
      <c r="U148" s="156"/>
      <c r="V148" s="34"/>
      <c r="W148" s="103"/>
      <c r="X148" s="82"/>
      <c r="Y148" s="34"/>
      <c r="Z148" s="34"/>
      <c r="AA148" s="34"/>
      <c r="AB148" s="104"/>
      <c r="AC148" s="104"/>
      <c r="AD148" s="34"/>
    </row>
    <row r="149" ht="15.75" customHeight="1">
      <c r="A149" s="34"/>
      <c r="B149" s="152"/>
      <c r="C149" s="152"/>
      <c r="D149" s="152"/>
      <c r="E149" s="153"/>
      <c r="F149" s="34"/>
      <c r="G149" s="152"/>
      <c r="H149" s="152"/>
      <c r="I149" s="152"/>
      <c r="J149" s="152"/>
      <c r="K149" s="152"/>
      <c r="L149" s="154"/>
      <c r="M149" s="154"/>
      <c r="N149" s="104"/>
      <c r="O149" s="104"/>
      <c r="P149" s="155"/>
      <c r="Q149" s="104"/>
      <c r="R149" s="155"/>
      <c r="S149" s="34"/>
      <c r="T149" s="156"/>
      <c r="U149" s="156"/>
      <c r="V149" s="34"/>
      <c r="W149" s="103"/>
      <c r="X149" s="82"/>
      <c r="Y149" s="34"/>
      <c r="Z149" s="34"/>
      <c r="AA149" s="34"/>
      <c r="AB149" s="104"/>
      <c r="AC149" s="104"/>
      <c r="AD149" s="34"/>
    </row>
    <row r="150" ht="15.75" customHeight="1">
      <c r="A150" s="34"/>
      <c r="B150" s="152"/>
      <c r="C150" s="152"/>
      <c r="D150" s="152"/>
      <c r="E150" s="153"/>
      <c r="F150" s="34"/>
      <c r="G150" s="152"/>
      <c r="H150" s="152"/>
      <c r="I150" s="152"/>
      <c r="J150" s="152"/>
      <c r="K150" s="152"/>
      <c r="L150" s="154"/>
      <c r="M150" s="154"/>
      <c r="N150" s="104"/>
      <c r="O150" s="104"/>
      <c r="P150" s="155"/>
      <c r="Q150" s="104"/>
      <c r="R150" s="155"/>
      <c r="S150" s="34"/>
      <c r="T150" s="156"/>
      <c r="U150" s="156"/>
      <c r="V150" s="34"/>
      <c r="W150" s="103"/>
      <c r="X150" s="82"/>
      <c r="Y150" s="34"/>
      <c r="Z150" s="34"/>
      <c r="AA150" s="34"/>
      <c r="AB150" s="104"/>
      <c r="AC150" s="104"/>
      <c r="AD150" s="34"/>
    </row>
    <row r="151" ht="15.75" customHeight="1">
      <c r="A151" s="34"/>
      <c r="B151" s="152"/>
      <c r="C151" s="152"/>
      <c r="D151" s="152"/>
      <c r="E151" s="153"/>
      <c r="F151" s="34"/>
      <c r="G151" s="152"/>
      <c r="H151" s="152"/>
      <c r="I151" s="152"/>
      <c r="J151" s="152"/>
      <c r="K151" s="152"/>
      <c r="L151" s="154"/>
      <c r="M151" s="154"/>
      <c r="N151" s="104"/>
      <c r="O151" s="104"/>
      <c r="P151" s="155"/>
      <c r="Q151" s="104"/>
      <c r="R151" s="155"/>
      <c r="S151" s="34"/>
      <c r="T151" s="156"/>
      <c r="U151" s="156"/>
      <c r="V151" s="34"/>
      <c r="W151" s="103"/>
      <c r="X151" s="82"/>
      <c r="Y151" s="34"/>
      <c r="Z151" s="34"/>
      <c r="AA151" s="34"/>
      <c r="AB151" s="104"/>
      <c r="AC151" s="104"/>
      <c r="AD151" s="34"/>
    </row>
    <row r="152" ht="15.75" customHeight="1">
      <c r="A152" s="34"/>
      <c r="B152" s="152"/>
      <c r="C152" s="152"/>
      <c r="D152" s="152"/>
      <c r="E152" s="153"/>
      <c r="F152" s="34"/>
      <c r="G152" s="152"/>
      <c r="H152" s="152"/>
      <c r="I152" s="152"/>
      <c r="J152" s="152"/>
      <c r="K152" s="152"/>
      <c r="L152" s="154"/>
      <c r="M152" s="154"/>
      <c r="N152" s="104"/>
      <c r="O152" s="104"/>
      <c r="P152" s="155"/>
      <c r="Q152" s="104"/>
      <c r="R152" s="155"/>
      <c r="S152" s="34"/>
      <c r="T152" s="156"/>
      <c r="U152" s="156"/>
      <c r="V152" s="34"/>
      <c r="W152" s="103"/>
      <c r="X152" s="82"/>
      <c r="Y152" s="34"/>
      <c r="Z152" s="34"/>
      <c r="AA152" s="34"/>
      <c r="AB152" s="104"/>
      <c r="AC152" s="104"/>
      <c r="AD152" s="34"/>
    </row>
    <row r="153" ht="15.75" customHeight="1">
      <c r="A153" s="34"/>
      <c r="B153" s="152"/>
      <c r="C153" s="152"/>
      <c r="D153" s="152"/>
      <c r="E153" s="153"/>
      <c r="F153" s="34"/>
      <c r="G153" s="152"/>
      <c r="H153" s="152"/>
      <c r="I153" s="152"/>
      <c r="J153" s="152"/>
      <c r="K153" s="152"/>
      <c r="L153" s="154"/>
      <c r="M153" s="154"/>
      <c r="N153" s="104"/>
      <c r="O153" s="104"/>
      <c r="P153" s="155"/>
      <c r="Q153" s="104"/>
      <c r="R153" s="155"/>
      <c r="S153" s="34"/>
      <c r="T153" s="156"/>
      <c r="U153" s="156"/>
      <c r="V153" s="34"/>
      <c r="W153" s="103"/>
      <c r="X153" s="82"/>
      <c r="Y153" s="34"/>
      <c r="Z153" s="34"/>
      <c r="AA153" s="34"/>
      <c r="AB153" s="104"/>
      <c r="AC153" s="104"/>
      <c r="AD153" s="34"/>
    </row>
    <row r="154" ht="15.75" customHeight="1">
      <c r="A154" s="34"/>
      <c r="B154" s="152"/>
      <c r="C154" s="152"/>
      <c r="D154" s="152"/>
      <c r="E154" s="153"/>
      <c r="F154" s="34"/>
      <c r="G154" s="152"/>
      <c r="H154" s="152"/>
      <c r="I154" s="152"/>
      <c r="J154" s="152"/>
      <c r="K154" s="152"/>
      <c r="L154" s="154"/>
      <c r="M154" s="154"/>
      <c r="N154" s="104"/>
      <c r="O154" s="104"/>
      <c r="P154" s="155"/>
      <c r="Q154" s="104"/>
      <c r="R154" s="155"/>
      <c r="S154" s="34"/>
      <c r="T154" s="156"/>
      <c r="U154" s="156"/>
      <c r="V154" s="34"/>
      <c r="W154" s="103"/>
      <c r="X154" s="82"/>
      <c r="Y154" s="34"/>
      <c r="Z154" s="34"/>
      <c r="AA154" s="34"/>
      <c r="AB154" s="104"/>
      <c r="AC154" s="104"/>
      <c r="AD154" s="34"/>
    </row>
    <row r="155" ht="15.75" customHeight="1">
      <c r="A155" s="34"/>
      <c r="B155" s="152"/>
      <c r="C155" s="152"/>
      <c r="D155" s="152"/>
      <c r="E155" s="153"/>
      <c r="F155" s="34"/>
      <c r="G155" s="152"/>
      <c r="H155" s="152"/>
      <c r="I155" s="152"/>
      <c r="J155" s="152"/>
      <c r="K155" s="152"/>
      <c r="L155" s="154"/>
      <c r="M155" s="154"/>
      <c r="N155" s="104"/>
      <c r="O155" s="104"/>
      <c r="P155" s="155"/>
      <c r="Q155" s="104"/>
      <c r="R155" s="155"/>
      <c r="S155" s="34"/>
      <c r="T155" s="156"/>
      <c r="U155" s="156"/>
      <c r="V155" s="34"/>
      <c r="W155" s="103"/>
      <c r="X155" s="82"/>
      <c r="Y155" s="34"/>
      <c r="Z155" s="34"/>
      <c r="AA155" s="34"/>
      <c r="AB155" s="104"/>
      <c r="AC155" s="104"/>
      <c r="AD155" s="34"/>
    </row>
    <row r="156" ht="15.75" customHeight="1">
      <c r="A156" s="34"/>
      <c r="B156" s="152"/>
      <c r="C156" s="152"/>
      <c r="D156" s="152"/>
      <c r="E156" s="153"/>
      <c r="F156" s="34"/>
      <c r="G156" s="152"/>
      <c r="H156" s="152"/>
      <c r="I156" s="152"/>
      <c r="J156" s="152"/>
      <c r="K156" s="152"/>
      <c r="L156" s="154"/>
      <c r="M156" s="154"/>
      <c r="N156" s="104"/>
      <c r="O156" s="104"/>
      <c r="P156" s="155"/>
      <c r="Q156" s="104"/>
      <c r="R156" s="155"/>
      <c r="S156" s="34"/>
      <c r="T156" s="156"/>
      <c r="U156" s="156"/>
      <c r="V156" s="34"/>
      <c r="W156" s="103"/>
      <c r="X156" s="82"/>
      <c r="Y156" s="34"/>
      <c r="Z156" s="34"/>
      <c r="AA156" s="34"/>
      <c r="AB156" s="104"/>
      <c r="AC156" s="104"/>
      <c r="AD156" s="34"/>
    </row>
    <row r="157" ht="15.75" customHeight="1">
      <c r="A157" s="34"/>
      <c r="B157" s="152"/>
      <c r="C157" s="152"/>
      <c r="D157" s="152"/>
      <c r="E157" s="153"/>
      <c r="F157" s="34"/>
      <c r="G157" s="152"/>
      <c r="H157" s="152"/>
      <c r="I157" s="152"/>
      <c r="J157" s="152"/>
      <c r="K157" s="152"/>
      <c r="L157" s="154"/>
      <c r="M157" s="154"/>
      <c r="N157" s="104"/>
      <c r="O157" s="104"/>
      <c r="P157" s="155"/>
      <c r="Q157" s="104"/>
      <c r="R157" s="155"/>
      <c r="S157" s="34"/>
      <c r="T157" s="156"/>
      <c r="U157" s="156"/>
      <c r="V157" s="34"/>
      <c r="W157" s="103"/>
      <c r="X157" s="82"/>
      <c r="Y157" s="34"/>
      <c r="Z157" s="34"/>
      <c r="AA157" s="34"/>
      <c r="AB157" s="104"/>
      <c r="AC157" s="104"/>
      <c r="AD157" s="34"/>
    </row>
    <row r="158" ht="15.75" customHeight="1">
      <c r="A158" s="34"/>
      <c r="B158" s="152"/>
      <c r="C158" s="152"/>
      <c r="D158" s="152"/>
      <c r="E158" s="153"/>
      <c r="F158" s="34"/>
      <c r="G158" s="152"/>
      <c r="H158" s="152"/>
      <c r="I158" s="152"/>
      <c r="J158" s="152"/>
      <c r="K158" s="152"/>
      <c r="L158" s="154"/>
      <c r="M158" s="154"/>
      <c r="N158" s="104"/>
      <c r="O158" s="104"/>
      <c r="P158" s="155"/>
      <c r="Q158" s="104"/>
      <c r="R158" s="155"/>
      <c r="S158" s="34"/>
      <c r="T158" s="156"/>
      <c r="U158" s="156"/>
      <c r="V158" s="34"/>
      <c r="W158" s="103"/>
      <c r="X158" s="82"/>
      <c r="Y158" s="34"/>
      <c r="Z158" s="34"/>
      <c r="AA158" s="34"/>
      <c r="AB158" s="104"/>
      <c r="AC158" s="104"/>
      <c r="AD158" s="34"/>
    </row>
    <row r="159" ht="15.75" customHeight="1">
      <c r="A159" s="34"/>
      <c r="B159" s="152"/>
      <c r="C159" s="152"/>
      <c r="D159" s="152"/>
      <c r="E159" s="153"/>
      <c r="F159" s="34"/>
      <c r="G159" s="152"/>
      <c r="H159" s="152"/>
      <c r="I159" s="152"/>
      <c r="J159" s="152"/>
      <c r="K159" s="152"/>
      <c r="L159" s="154"/>
      <c r="M159" s="154"/>
      <c r="N159" s="104"/>
      <c r="O159" s="104"/>
      <c r="P159" s="155"/>
      <c r="Q159" s="104"/>
      <c r="R159" s="155"/>
      <c r="S159" s="34"/>
      <c r="T159" s="156"/>
      <c r="U159" s="156"/>
      <c r="V159" s="34"/>
      <c r="W159" s="103"/>
      <c r="X159" s="82"/>
      <c r="Y159" s="34"/>
      <c r="Z159" s="34"/>
      <c r="AA159" s="34"/>
      <c r="AB159" s="104"/>
      <c r="AC159" s="104"/>
      <c r="AD159" s="34"/>
    </row>
    <row r="160" ht="15.75" customHeight="1">
      <c r="A160" s="34"/>
      <c r="B160" s="152"/>
      <c r="C160" s="152"/>
      <c r="D160" s="152"/>
      <c r="E160" s="153"/>
      <c r="F160" s="34"/>
      <c r="G160" s="152"/>
      <c r="H160" s="152"/>
      <c r="I160" s="152"/>
      <c r="J160" s="152"/>
      <c r="K160" s="152"/>
      <c r="L160" s="154"/>
      <c r="M160" s="154"/>
      <c r="N160" s="104"/>
      <c r="O160" s="104"/>
      <c r="P160" s="155"/>
      <c r="Q160" s="104"/>
      <c r="R160" s="155"/>
      <c r="S160" s="34"/>
      <c r="T160" s="156"/>
      <c r="U160" s="156"/>
      <c r="V160" s="34"/>
      <c r="W160" s="103"/>
      <c r="X160" s="82"/>
      <c r="Y160" s="34"/>
      <c r="Z160" s="34"/>
      <c r="AA160" s="34"/>
      <c r="AB160" s="104"/>
      <c r="AC160" s="104"/>
      <c r="AD160" s="34"/>
    </row>
    <row r="161" ht="15.75" customHeight="1">
      <c r="A161" s="34"/>
      <c r="B161" s="152"/>
      <c r="C161" s="152"/>
      <c r="D161" s="152"/>
      <c r="E161" s="153"/>
      <c r="F161" s="34"/>
      <c r="G161" s="152"/>
      <c r="H161" s="152"/>
      <c r="I161" s="152"/>
      <c r="J161" s="152"/>
      <c r="K161" s="152"/>
      <c r="L161" s="154"/>
      <c r="M161" s="154"/>
      <c r="N161" s="104"/>
      <c r="O161" s="104"/>
      <c r="P161" s="155"/>
      <c r="Q161" s="104"/>
      <c r="R161" s="155"/>
      <c r="S161" s="34"/>
      <c r="T161" s="156"/>
      <c r="U161" s="156"/>
      <c r="V161" s="34"/>
      <c r="W161" s="103"/>
      <c r="X161" s="82"/>
      <c r="Y161" s="34"/>
      <c r="Z161" s="34"/>
      <c r="AA161" s="34"/>
      <c r="AB161" s="104"/>
      <c r="AC161" s="104"/>
      <c r="AD161" s="34"/>
    </row>
    <row r="162" ht="15.75" customHeight="1">
      <c r="A162" s="34"/>
      <c r="B162" s="152"/>
      <c r="C162" s="152"/>
      <c r="D162" s="152"/>
      <c r="E162" s="153"/>
      <c r="F162" s="34"/>
      <c r="G162" s="152"/>
      <c r="H162" s="152"/>
      <c r="I162" s="152"/>
      <c r="J162" s="152"/>
      <c r="K162" s="152"/>
      <c r="L162" s="154"/>
      <c r="M162" s="154"/>
      <c r="N162" s="104"/>
      <c r="O162" s="104"/>
      <c r="P162" s="155"/>
      <c r="Q162" s="104"/>
      <c r="R162" s="155"/>
      <c r="S162" s="34"/>
      <c r="T162" s="156"/>
      <c r="U162" s="156"/>
      <c r="V162" s="34"/>
      <c r="W162" s="103"/>
      <c r="X162" s="82"/>
      <c r="Y162" s="34"/>
      <c r="Z162" s="34"/>
      <c r="AA162" s="34"/>
      <c r="AB162" s="104"/>
      <c r="AC162" s="104"/>
      <c r="AD162" s="34"/>
    </row>
    <row r="163" ht="15.75" customHeight="1">
      <c r="A163" s="34"/>
      <c r="B163" s="152"/>
      <c r="C163" s="152"/>
      <c r="D163" s="152"/>
      <c r="E163" s="153"/>
      <c r="F163" s="34"/>
      <c r="G163" s="152"/>
      <c r="H163" s="152"/>
      <c r="I163" s="152"/>
      <c r="J163" s="152"/>
      <c r="K163" s="152"/>
      <c r="L163" s="154"/>
      <c r="M163" s="154"/>
      <c r="N163" s="104"/>
      <c r="O163" s="104"/>
      <c r="P163" s="155"/>
      <c r="Q163" s="104"/>
      <c r="R163" s="155"/>
      <c r="S163" s="34"/>
      <c r="T163" s="156"/>
      <c r="U163" s="156"/>
      <c r="V163" s="34"/>
      <c r="W163" s="103"/>
      <c r="X163" s="82"/>
      <c r="Y163" s="34"/>
      <c r="Z163" s="34"/>
      <c r="AA163" s="34"/>
      <c r="AB163" s="104"/>
      <c r="AC163" s="104"/>
      <c r="AD163" s="34"/>
    </row>
    <row r="164" ht="15.75" customHeight="1">
      <c r="A164" s="34"/>
      <c r="B164" s="152"/>
      <c r="C164" s="152"/>
      <c r="D164" s="152"/>
      <c r="E164" s="153"/>
      <c r="F164" s="34"/>
      <c r="G164" s="152"/>
      <c r="H164" s="152"/>
      <c r="I164" s="152"/>
      <c r="J164" s="152"/>
      <c r="K164" s="152"/>
      <c r="L164" s="154"/>
      <c r="M164" s="154"/>
      <c r="N164" s="104"/>
      <c r="O164" s="104"/>
      <c r="P164" s="155"/>
      <c r="Q164" s="104"/>
      <c r="R164" s="155"/>
      <c r="S164" s="34"/>
      <c r="T164" s="156"/>
      <c r="U164" s="156"/>
      <c r="V164" s="34"/>
      <c r="W164" s="103"/>
      <c r="X164" s="82"/>
      <c r="Y164" s="34"/>
      <c r="Z164" s="34"/>
      <c r="AA164" s="34"/>
      <c r="AB164" s="104"/>
      <c r="AC164" s="104"/>
      <c r="AD164" s="34"/>
    </row>
    <row r="165" ht="15.75" customHeight="1">
      <c r="A165" s="34"/>
      <c r="B165" s="152"/>
      <c r="C165" s="152"/>
      <c r="D165" s="152"/>
      <c r="E165" s="153"/>
      <c r="F165" s="34"/>
      <c r="G165" s="152"/>
      <c r="H165" s="152"/>
      <c r="I165" s="152"/>
      <c r="J165" s="152"/>
      <c r="K165" s="152"/>
      <c r="L165" s="154"/>
      <c r="M165" s="154"/>
      <c r="N165" s="104"/>
      <c r="O165" s="104"/>
      <c r="P165" s="155"/>
      <c r="Q165" s="104"/>
      <c r="R165" s="155"/>
      <c r="S165" s="34"/>
      <c r="T165" s="156"/>
      <c r="U165" s="156"/>
      <c r="V165" s="34"/>
      <c r="W165" s="103"/>
      <c r="X165" s="82"/>
      <c r="Y165" s="34"/>
      <c r="Z165" s="34"/>
      <c r="AA165" s="34"/>
      <c r="AB165" s="104"/>
      <c r="AC165" s="104"/>
      <c r="AD165" s="34"/>
    </row>
    <row r="166" ht="15.75" customHeight="1">
      <c r="A166" s="34"/>
      <c r="B166" s="152"/>
      <c r="C166" s="152"/>
      <c r="D166" s="152"/>
      <c r="E166" s="153"/>
      <c r="F166" s="34"/>
      <c r="G166" s="152"/>
      <c r="H166" s="152"/>
      <c r="I166" s="152"/>
      <c r="J166" s="152"/>
      <c r="K166" s="152"/>
      <c r="L166" s="154"/>
      <c r="M166" s="154"/>
      <c r="N166" s="104"/>
      <c r="O166" s="104"/>
      <c r="P166" s="155"/>
      <c r="Q166" s="104"/>
      <c r="R166" s="155"/>
      <c r="S166" s="34"/>
      <c r="T166" s="156"/>
      <c r="U166" s="156"/>
      <c r="V166" s="34"/>
      <c r="W166" s="103"/>
      <c r="X166" s="82"/>
      <c r="Y166" s="34"/>
      <c r="Z166" s="34"/>
      <c r="AA166" s="34"/>
      <c r="AB166" s="104"/>
      <c r="AC166" s="104"/>
      <c r="AD166" s="34"/>
    </row>
    <row r="167" ht="15.75" customHeight="1">
      <c r="A167" s="34"/>
      <c r="B167" s="152"/>
      <c r="C167" s="152"/>
      <c r="D167" s="152"/>
      <c r="E167" s="153"/>
      <c r="F167" s="34"/>
      <c r="G167" s="152"/>
      <c r="H167" s="152"/>
      <c r="I167" s="152"/>
      <c r="J167" s="152"/>
      <c r="K167" s="152"/>
      <c r="L167" s="154"/>
      <c r="M167" s="154"/>
      <c r="N167" s="104"/>
      <c r="O167" s="104"/>
      <c r="P167" s="155"/>
      <c r="Q167" s="104"/>
      <c r="R167" s="155"/>
      <c r="S167" s="34"/>
      <c r="T167" s="156"/>
      <c r="U167" s="156"/>
      <c r="V167" s="34"/>
      <c r="W167" s="103"/>
      <c r="X167" s="82"/>
      <c r="Y167" s="34"/>
      <c r="Z167" s="34"/>
      <c r="AA167" s="34"/>
      <c r="AB167" s="104"/>
      <c r="AC167" s="104"/>
      <c r="AD167" s="34"/>
    </row>
    <row r="168" ht="15.75" customHeight="1">
      <c r="A168" s="34"/>
      <c r="B168" s="152"/>
      <c r="C168" s="152"/>
      <c r="D168" s="152"/>
      <c r="E168" s="153"/>
      <c r="F168" s="34"/>
      <c r="G168" s="152"/>
      <c r="H168" s="152"/>
      <c r="I168" s="152"/>
      <c r="J168" s="152"/>
      <c r="K168" s="152"/>
      <c r="L168" s="154"/>
      <c r="M168" s="154"/>
      <c r="N168" s="104"/>
      <c r="O168" s="104"/>
      <c r="P168" s="155"/>
      <c r="Q168" s="104"/>
      <c r="R168" s="155"/>
      <c r="S168" s="34"/>
      <c r="T168" s="156"/>
      <c r="U168" s="156"/>
      <c r="V168" s="34"/>
      <c r="W168" s="103"/>
      <c r="X168" s="82"/>
      <c r="Y168" s="34"/>
      <c r="Z168" s="34"/>
      <c r="AA168" s="34"/>
      <c r="AB168" s="104"/>
      <c r="AC168" s="104"/>
      <c r="AD168" s="34"/>
    </row>
    <row r="169" ht="15.75" customHeight="1">
      <c r="A169" s="34"/>
      <c r="B169" s="152"/>
      <c r="C169" s="152"/>
      <c r="D169" s="152"/>
      <c r="E169" s="153"/>
      <c r="F169" s="34"/>
      <c r="G169" s="152"/>
      <c r="H169" s="152"/>
      <c r="I169" s="152"/>
      <c r="J169" s="152"/>
      <c r="K169" s="152"/>
      <c r="L169" s="154"/>
      <c r="M169" s="154"/>
      <c r="N169" s="104"/>
      <c r="O169" s="104"/>
      <c r="P169" s="155"/>
      <c r="Q169" s="104"/>
      <c r="R169" s="155"/>
      <c r="S169" s="34"/>
      <c r="T169" s="156"/>
      <c r="U169" s="156"/>
      <c r="V169" s="34"/>
      <c r="W169" s="103"/>
      <c r="X169" s="82"/>
      <c r="Y169" s="34"/>
      <c r="Z169" s="34"/>
      <c r="AA169" s="34"/>
      <c r="AB169" s="104"/>
      <c r="AC169" s="104"/>
      <c r="AD169" s="34"/>
    </row>
    <row r="170" ht="15.75" customHeight="1">
      <c r="A170" s="34"/>
      <c r="B170" s="152"/>
      <c r="C170" s="152"/>
      <c r="D170" s="152"/>
      <c r="E170" s="153"/>
      <c r="F170" s="34"/>
      <c r="G170" s="152"/>
      <c r="H170" s="152"/>
      <c r="I170" s="152"/>
      <c r="J170" s="152"/>
      <c r="K170" s="152"/>
      <c r="L170" s="154"/>
      <c r="M170" s="154"/>
      <c r="N170" s="104"/>
      <c r="O170" s="104"/>
      <c r="P170" s="155"/>
      <c r="Q170" s="104"/>
      <c r="R170" s="155"/>
      <c r="S170" s="34"/>
      <c r="T170" s="156"/>
      <c r="U170" s="156"/>
      <c r="V170" s="34"/>
      <c r="W170" s="103"/>
      <c r="X170" s="82"/>
      <c r="Y170" s="34"/>
      <c r="Z170" s="34"/>
      <c r="AA170" s="34"/>
      <c r="AB170" s="104"/>
      <c r="AC170" s="104"/>
      <c r="AD170" s="34"/>
    </row>
    <row r="171" ht="15.75" customHeight="1">
      <c r="A171" s="34"/>
      <c r="B171" s="152"/>
      <c r="C171" s="152"/>
      <c r="D171" s="152"/>
      <c r="E171" s="153"/>
      <c r="F171" s="34"/>
      <c r="G171" s="152"/>
      <c r="H171" s="152"/>
      <c r="I171" s="152"/>
      <c r="J171" s="152"/>
      <c r="K171" s="152"/>
      <c r="L171" s="154"/>
      <c r="M171" s="154"/>
      <c r="N171" s="104"/>
      <c r="O171" s="104"/>
      <c r="P171" s="155"/>
      <c r="Q171" s="104"/>
      <c r="R171" s="155"/>
      <c r="S171" s="34"/>
      <c r="T171" s="156"/>
      <c r="U171" s="156"/>
      <c r="V171" s="34"/>
      <c r="W171" s="103"/>
      <c r="X171" s="82"/>
      <c r="Y171" s="34"/>
      <c r="Z171" s="34"/>
      <c r="AA171" s="34"/>
      <c r="AB171" s="104"/>
      <c r="AC171" s="104"/>
      <c r="AD171" s="34"/>
    </row>
    <row r="172" ht="15.75" customHeight="1">
      <c r="A172" s="34"/>
      <c r="B172" s="152"/>
      <c r="C172" s="152"/>
      <c r="D172" s="152"/>
      <c r="E172" s="153"/>
      <c r="F172" s="34"/>
      <c r="G172" s="152"/>
      <c r="H172" s="152"/>
      <c r="I172" s="152"/>
      <c r="J172" s="152"/>
      <c r="K172" s="152"/>
      <c r="L172" s="154"/>
      <c r="M172" s="154"/>
      <c r="N172" s="104"/>
      <c r="O172" s="104"/>
      <c r="P172" s="155"/>
      <c r="Q172" s="104"/>
      <c r="R172" s="155"/>
      <c r="S172" s="34"/>
      <c r="T172" s="156"/>
      <c r="U172" s="156"/>
      <c r="V172" s="34"/>
      <c r="W172" s="103"/>
      <c r="X172" s="82"/>
      <c r="Y172" s="34"/>
      <c r="Z172" s="34"/>
      <c r="AA172" s="34"/>
      <c r="AB172" s="104"/>
      <c r="AC172" s="104"/>
      <c r="AD172" s="34"/>
    </row>
    <row r="173" ht="15.75" customHeight="1">
      <c r="A173" s="34"/>
      <c r="B173" s="152"/>
      <c r="C173" s="152"/>
      <c r="D173" s="152"/>
      <c r="E173" s="153"/>
      <c r="F173" s="34"/>
      <c r="G173" s="152"/>
      <c r="H173" s="152"/>
      <c r="I173" s="152"/>
      <c r="J173" s="152"/>
      <c r="K173" s="152"/>
      <c r="L173" s="154"/>
      <c r="M173" s="154"/>
      <c r="N173" s="104"/>
      <c r="O173" s="104"/>
      <c r="P173" s="155"/>
      <c r="Q173" s="104"/>
      <c r="R173" s="155"/>
      <c r="S173" s="34"/>
      <c r="T173" s="156"/>
      <c r="U173" s="156"/>
      <c r="V173" s="34"/>
      <c r="W173" s="103"/>
      <c r="X173" s="82"/>
      <c r="Y173" s="34"/>
      <c r="Z173" s="34"/>
      <c r="AA173" s="34"/>
      <c r="AB173" s="104"/>
      <c r="AC173" s="104"/>
      <c r="AD173" s="34"/>
    </row>
    <row r="174" ht="15.75" customHeight="1">
      <c r="A174" s="34"/>
      <c r="B174" s="152"/>
      <c r="C174" s="152"/>
      <c r="D174" s="152"/>
      <c r="E174" s="153"/>
      <c r="F174" s="34"/>
      <c r="G174" s="152"/>
      <c r="H174" s="152"/>
      <c r="I174" s="152"/>
      <c r="J174" s="152"/>
      <c r="K174" s="152"/>
      <c r="L174" s="154"/>
      <c r="M174" s="154"/>
      <c r="N174" s="104"/>
      <c r="O174" s="104"/>
      <c r="P174" s="155"/>
      <c r="Q174" s="104"/>
      <c r="R174" s="155"/>
      <c r="S174" s="34"/>
      <c r="T174" s="156"/>
      <c r="U174" s="156"/>
      <c r="V174" s="34"/>
      <c r="W174" s="103"/>
      <c r="X174" s="82"/>
      <c r="Y174" s="34"/>
      <c r="Z174" s="34"/>
      <c r="AA174" s="34"/>
      <c r="AB174" s="104"/>
      <c r="AC174" s="104"/>
      <c r="AD174" s="34"/>
    </row>
    <row r="175" ht="15.75" customHeight="1">
      <c r="A175" s="34"/>
      <c r="B175" s="152"/>
      <c r="C175" s="152"/>
      <c r="D175" s="152"/>
      <c r="E175" s="153"/>
      <c r="F175" s="34"/>
      <c r="G175" s="152"/>
      <c r="H175" s="152"/>
      <c r="I175" s="152"/>
      <c r="J175" s="152"/>
      <c r="K175" s="152"/>
      <c r="L175" s="154"/>
      <c r="M175" s="154"/>
      <c r="N175" s="104"/>
      <c r="O175" s="104"/>
      <c r="P175" s="155"/>
      <c r="Q175" s="104"/>
      <c r="R175" s="155"/>
      <c r="S175" s="34"/>
      <c r="T175" s="156"/>
      <c r="U175" s="156"/>
      <c r="V175" s="34"/>
      <c r="W175" s="103"/>
      <c r="X175" s="82"/>
      <c r="Y175" s="34"/>
      <c r="Z175" s="34"/>
      <c r="AA175" s="34"/>
      <c r="AB175" s="104"/>
      <c r="AC175" s="104"/>
      <c r="AD175" s="34"/>
    </row>
    <row r="176" ht="15.75" customHeight="1">
      <c r="A176" s="34"/>
      <c r="B176" s="152"/>
      <c r="C176" s="152"/>
      <c r="D176" s="152"/>
      <c r="E176" s="153"/>
      <c r="F176" s="34"/>
      <c r="G176" s="152"/>
      <c r="H176" s="152"/>
      <c r="I176" s="152"/>
      <c r="J176" s="152"/>
      <c r="K176" s="152"/>
      <c r="L176" s="154"/>
      <c r="M176" s="154"/>
      <c r="N176" s="104"/>
      <c r="O176" s="104"/>
      <c r="P176" s="155"/>
      <c r="Q176" s="104"/>
      <c r="R176" s="155"/>
      <c r="S176" s="34"/>
      <c r="T176" s="156"/>
      <c r="U176" s="156"/>
      <c r="V176" s="34"/>
      <c r="W176" s="103"/>
      <c r="X176" s="82"/>
      <c r="Y176" s="34"/>
      <c r="Z176" s="34"/>
      <c r="AA176" s="34"/>
      <c r="AB176" s="104"/>
      <c r="AC176" s="104"/>
      <c r="AD176" s="34"/>
    </row>
    <row r="177" ht="15.75" customHeight="1">
      <c r="A177" s="34"/>
      <c r="B177" s="152"/>
      <c r="C177" s="152"/>
      <c r="D177" s="152"/>
      <c r="E177" s="153"/>
      <c r="F177" s="34"/>
      <c r="G177" s="152"/>
      <c r="H177" s="152"/>
      <c r="I177" s="152"/>
      <c r="J177" s="152"/>
      <c r="K177" s="152"/>
      <c r="L177" s="154"/>
      <c r="M177" s="154"/>
      <c r="N177" s="104"/>
      <c r="O177" s="104"/>
      <c r="P177" s="155"/>
      <c r="Q177" s="104"/>
      <c r="R177" s="155"/>
      <c r="S177" s="34"/>
      <c r="T177" s="156"/>
      <c r="U177" s="156"/>
      <c r="V177" s="34"/>
      <c r="W177" s="103"/>
      <c r="X177" s="82"/>
      <c r="Y177" s="34"/>
      <c r="Z177" s="34"/>
      <c r="AA177" s="34"/>
      <c r="AB177" s="104"/>
      <c r="AC177" s="104"/>
      <c r="AD177" s="34"/>
    </row>
    <row r="178" ht="15.75" customHeight="1">
      <c r="A178" s="34"/>
      <c r="B178" s="152"/>
      <c r="C178" s="152"/>
      <c r="D178" s="152"/>
      <c r="E178" s="153"/>
      <c r="F178" s="34"/>
      <c r="G178" s="152"/>
      <c r="H178" s="152"/>
      <c r="I178" s="152"/>
      <c r="J178" s="152"/>
      <c r="K178" s="152"/>
      <c r="L178" s="154"/>
      <c r="M178" s="154"/>
      <c r="N178" s="104"/>
      <c r="O178" s="104"/>
      <c r="P178" s="155"/>
      <c r="Q178" s="104"/>
      <c r="R178" s="155"/>
      <c r="S178" s="34"/>
      <c r="T178" s="156"/>
      <c r="U178" s="156"/>
      <c r="V178" s="34"/>
      <c r="W178" s="103"/>
      <c r="X178" s="82"/>
      <c r="Y178" s="34"/>
      <c r="Z178" s="34"/>
      <c r="AA178" s="34"/>
      <c r="AB178" s="104"/>
      <c r="AC178" s="104"/>
      <c r="AD178" s="34"/>
    </row>
    <row r="179" ht="15.75" customHeight="1">
      <c r="A179" s="34"/>
      <c r="B179" s="152"/>
      <c r="C179" s="152"/>
      <c r="D179" s="152"/>
      <c r="E179" s="153"/>
      <c r="F179" s="34"/>
      <c r="G179" s="152"/>
      <c r="H179" s="152"/>
      <c r="I179" s="152"/>
      <c r="J179" s="152"/>
      <c r="K179" s="152"/>
      <c r="L179" s="154"/>
      <c r="M179" s="154"/>
      <c r="N179" s="104"/>
      <c r="O179" s="104"/>
      <c r="P179" s="155"/>
      <c r="Q179" s="104"/>
      <c r="R179" s="155"/>
      <c r="S179" s="34"/>
      <c r="T179" s="156"/>
      <c r="U179" s="156"/>
      <c r="V179" s="34"/>
      <c r="W179" s="103"/>
      <c r="X179" s="82"/>
      <c r="Y179" s="34"/>
      <c r="Z179" s="34"/>
      <c r="AA179" s="34"/>
      <c r="AB179" s="104"/>
      <c r="AC179" s="104"/>
      <c r="AD179" s="34"/>
    </row>
    <row r="180" ht="15.75" customHeight="1">
      <c r="A180" s="34"/>
      <c r="B180" s="152"/>
      <c r="C180" s="152"/>
      <c r="D180" s="152"/>
      <c r="E180" s="153"/>
      <c r="F180" s="34"/>
      <c r="G180" s="152"/>
      <c r="H180" s="152"/>
      <c r="I180" s="152"/>
      <c r="J180" s="152"/>
      <c r="K180" s="152"/>
      <c r="L180" s="154"/>
      <c r="M180" s="154"/>
      <c r="N180" s="104"/>
      <c r="O180" s="104"/>
      <c r="P180" s="155"/>
      <c r="Q180" s="104"/>
      <c r="R180" s="155"/>
      <c r="S180" s="34"/>
      <c r="T180" s="156"/>
      <c r="U180" s="156"/>
      <c r="V180" s="34"/>
      <c r="W180" s="103"/>
      <c r="X180" s="82"/>
      <c r="Y180" s="34"/>
      <c r="Z180" s="34"/>
      <c r="AA180" s="34"/>
      <c r="AB180" s="104"/>
      <c r="AC180" s="104"/>
      <c r="AD180" s="34"/>
    </row>
    <row r="181" ht="15.75" customHeight="1">
      <c r="A181" s="34"/>
      <c r="B181" s="152"/>
      <c r="C181" s="152"/>
      <c r="D181" s="152"/>
      <c r="E181" s="153"/>
      <c r="F181" s="34"/>
      <c r="G181" s="152"/>
      <c r="H181" s="152"/>
      <c r="I181" s="152"/>
      <c r="J181" s="152"/>
      <c r="K181" s="152"/>
      <c r="L181" s="154"/>
      <c r="M181" s="154"/>
      <c r="N181" s="104"/>
      <c r="O181" s="104"/>
      <c r="P181" s="155"/>
      <c r="Q181" s="104"/>
      <c r="R181" s="155"/>
      <c r="S181" s="34"/>
      <c r="T181" s="156"/>
      <c r="U181" s="156"/>
      <c r="V181" s="34"/>
      <c r="W181" s="103"/>
      <c r="X181" s="82"/>
      <c r="Y181" s="34"/>
      <c r="Z181" s="34"/>
      <c r="AA181" s="34"/>
      <c r="AB181" s="104"/>
      <c r="AC181" s="104"/>
      <c r="AD181" s="34"/>
    </row>
    <row r="182" ht="15.75" customHeight="1">
      <c r="A182" s="34"/>
      <c r="B182" s="152"/>
      <c r="C182" s="152"/>
      <c r="D182" s="152"/>
      <c r="E182" s="153"/>
      <c r="F182" s="34"/>
      <c r="G182" s="152"/>
      <c r="H182" s="152"/>
      <c r="I182" s="152"/>
      <c r="J182" s="152"/>
      <c r="K182" s="152"/>
      <c r="L182" s="154"/>
      <c r="M182" s="154"/>
      <c r="N182" s="104"/>
      <c r="O182" s="104"/>
      <c r="P182" s="155"/>
      <c r="Q182" s="104"/>
      <c r="R182" s="155"/>
      <c r="S182" s="34"/>
      <c r="T182" s="156"/>
      <c r="U182" s="156"/>
      <c r="V182" s="34"/>
      <c r="W182" s="103"/>
      <c r="X182" s="82"/>
      <c r="Y182" s="34"/>
      <c r="Z182" s="34"/>
      <c r="AA182" s="34"/>
      <c r="AB182" s="104"/>
      <c r="AC182" s="104"/>
      <c r="AD182" s="34"/>
    </row>
    <row r="183" ht="15.75" customHeight="1">
      <c r="A183" s="34"/>
      <c r="B183" s="152"/>
      <c r="C183" s="152"/>
      <c r="D183" s="152"/>
      <c r="E183" s="153"/>
      <c r="F183" s="34"/>
      <c r="G183" s="152"/>
      <c r="H183" s="152"/>
      <c r="I183" s="152"/>
      <c r="J183" s="152"/>
      <c r="K183" s="152"/>
      <c r="L183" s="154"/>
      <c r="M183" s="154"/>
      <c r="N183" s="104"/>
      <c r="O183" s="104"/>
      <c r="P183" s="155"/>
      <c r="Q183" s="104"/>
      <c r="R183" s="155"/>
      <c r="S183" s="34"/>
      <c r="T183" s="156"/>
      <c r="U183" s="156"/>
      <c r="V183" s="34"/>
      <c r="W183" s="103"/>
      <c r="X183" s="82"/>
      <c r="Y183" s="34"/>
      <c r="Z183" s="34"/>
      <c r="AA183" s="34"/>
      <c r="AB183" s="104"/>
      <c r="AC183" s="104"/>
      <c r="AD183" s="34"/>
    </row>
    <row r="184" ht="15.75" customHeight="1">
      <c r="A184" s="34"/>
      <c r="B184" s="152"/>
      <c r="C184" s="152"/>
      <c r="D184" s="152"/>
      <c r="E184" s="153"/>
      <c r="F184" s="34"/>
      <c r="G184" s="152"/>
      <c r="H184" s="152"/>
      <c r="I184" s="152"/>
      <c r="J184" s="152"/>
      <c r="K184" s="152"/>
      <c r="L184" s="154"/>
      <c r="M184" s="154"/>
      <c r="N184" s="104"/>
      <c r="O184" s="104"/>
      <c r="P184" s="155"/>
      <c r="Q184" s="104"/>
      <c r="R184" s="155"/>
      <c r="S184" s="34"/>
      <c r="T184" s="156"/>
      <c r="U184" s="156"/>
      <c r="V184" s="34"/>
      <c r="W184" s="103"/>
      <c r="X184" s="82"/>
      <c r="Y184" s="34"/>
      <c r="Z184" s="34"/>
      <c r="AA184" s="34"/>
      <c r="AB184" s="104"/>
      <c r="AC184" s="104"/>
      <c r="AD184" s="34"/>
    </row>
    <row r="185" ht="15.75" customHeight="1">
      <c r="A185" s="34"/>
      <c r="B185" s="152"/>
      <c r="C185" s="152"/>
      <c r="D185" s="152"/>
      <c r="E185" s="153"/>
      <c r="F185" s="34"/>
      <c r="G185" s="152"/>
      <c r="H185" s="152"/>
      <c r="I185" s="152"/>
      <c r="J185" s="152"/>
      <c r="K185" s="152"/>
      <c r="L185" s="154"/>
      <c r="M185" s="154"/>
      <c r="N185" s="104"/>
      <c r="O185" s="104"/>
      <c r="P185" s="155"/>
      <c r="Q185" s="104"/>
      <c r="R185" s="155"/>
      <c r="S185" s="34"/>
      <c r="T185" s="156"/>
      <c r="U185" s="156"/>
      <c r="V185" s="34"/>
      <c r="W185" s="103"/>
      <c r="X185" s="82"/>
      <c r="Y185" s="34"/>
      <c r="Z185" s="34"/>
      <c r="AA185" s="34"/>
      <c r="AB185" s="104"/>
      <c r="AC185" s="104"/>
      <c r="AD185" s="34"/>
    </row>
    <row r="186" ht="15.75" customHeight="1">
      <c r="A186" s="34"/>
      <c r="B186" s="152"/>
      <c r="C186" s="152"/>
      <c r="D186" s="152"/>
      <c r="E186" s="153"/>
      <c r="F186" s="34"/>
      <c r="G186" s="152"/>
      <c r="H186" s="152"/>
      <c r="I186" s="152"/>
      <c r="J186" s="152"/>
      <c r="K186" s="152"/>
      <c r="L186" s="154"/>
      <c r="M186" s="154"/>
      <c r="N186" s="104"/>
      <c r="O186" s="104"/>
      <c r="P186" s="155"/>
      <c r="Q186" s="104"/>
      <c r="R186" s="155"/>
      <c r="S186" s="34"/>
      <c r="T186" s="156"/>
      <c r="U186" s="156"/>
      <c r="V186" s="34"/>
      <c r="W186" s="103"/>
      <c r="X186" s="82"/>
      <c r="Y186" s="34"/>
      <c r="Z186" s="34"/>
      <c r="AA186" s="34"/>
      <c r="AB186" s="104"/>
      <c r="AC186" s="104"/>
      <c r="AD186" s="34"/>
    </row>
    <row r="187" ht="15.75" customHeight="1">
      <c r="A187" s="34"/>
      <c r="B187" s="152"/>
      <c r="C187" s="152"/>
      <c r="D187" s="152"/>
      <c r="E187" s="153"/>
      <c r="F187" s="34"/>
      <c r="G187" s="152"/>
      <c r="H187" s="152"/>
      <c r="I187" s="152"/>
      <c r="J187" s="152"/>
      <c r="K187" s="152"/>
      <c r="L187" s="154"/>
      <c r="M187" s="154"/>
      <c r="N187" s="104"/>
      <c r="O187" s="104"/>
      <c r="P187" s="155"/>
      <c r="Q187" s="104"/>
      <c r="R187" s="155"/>
      <c r="S187" s="34"/>
      <c r="T187" s="156"/>
      <c r="U187" s="156"/>
      <c r="V187" s="34"/>
      <c r="W187" s="103"/>
      <c r="X187" s="82"/>
      <c r="Y187" s="34"/>
      <c r="Z187" s="34"/>
      <c r="AA187" s="34"/>
      <c r="AB187" s="104"/>
      <c r="AC187" s="104"/>
      <c r="AD187" s="34"/>
    </row>
    <row r="188" ht="15.75" customHeight="1">
      <c r="A188" s="34"/>
      <c r="B188" s="152"/>
      <c r="C188" s="152"/>
      <c r="D188" s="152"/>
      <c r="E188" s="153"/>
      <c r="F188" s="34"/>
      <c r="G188" s="152"/>
      <c r="H188" s="152"/>
      <c r="I188" s="152"/>
      <c r="J188" s="152"/>
      <c r="K188" s="152"/>
      <c r="L188" s="154"/>
      <c r="M188" s="154"/>
      <c r="N188" s="104"/>
      <c r="O188" s="104"/>
      <c r="P188" s="155"/>
      <c r="Q188" s="104"/>
      <c r="R188" s="155"/>
      <c r="S188" s="34"/>
      <c r="T188" s="156"/>
      <c r="U188" s="156"/>
      <c r="V188" s="34"/>
      <c r="W188" s="103"/>
      <c r="X188" s="82"/>
      <c r="Y188" s="34"/>
      <c r="Z188" s="34"/>
      <c r="AA188" s="34"/>
      <c r="AB188" s="104"/>
      <c r="AC188" s="104"/>
      <c r="AD188" s="34"/>
    </row>
    <row r="189" ht="15.75" customHeight="1">
      <c r="A189" s="34"/>
      <c r="B189" s="152"/>
      <c r="C189" s="152"/>
      <c r="D189" s="152"/>
      <c r="E189" s="153"/>
      <c r="F189" s="34"/>
      <c r="G189" s="152"/>
      <c r="H189" s="152"/>
      <c r="I189" s="152"/>
      <c r="J189" s="152"/>
      <c r="K189" s="152"/>
      <c r="L189" s="154"/>
      <c r="M189" s="154"/>
      <c r="N189" s="104"/>
      <c r="O189" s="104"/>
      <c r="P189" s="155"/>
      <c r="Q189" s="104"/>
      <c r="R189" s="155"/>
      <c r="S189" s="34"/>
      <c r="T189" s="156"/>
      <c r="U189" s="156"/>
      <c r="V189" s="34"/>
      <c r="W189" s="103"/>
      <c r="X189" s="82"/>
      <c r="Y189" s="34"/>
      <c r="Z189" s="34"/>
      <c r="AA189" s="34"/>
      <c r="AB189" s="104"/>
      <c r="AC189" s="104"/>
      <c r="AD189" s="34"/>
    </row>
    <row r="190" ht="15.75" customHeight="1">
      <c r="A190" s="34"/>
      <c r="B190" s="152"/>
      <c r="C190" s="152"/>
      <c r="D190" s="152"/>
      <c r="E190" s="153"/>
      <c r="F190" s="34"/>
      <c r="G190" s="152"/>
      <c r="H190" s="152"/>
      <c r="I190" s="152"/>
      <c r="J190" s="152"/>
      <c r="K190" s="152"/>
      <c r="L190" s="154"/>
      <c r="M190" s="154"/>
      <c r="N190" s="104"/>
      <c r="O190" s="104"/>
      <c r="P190" s="155"/>
      <c r="Q190" s="104"/>
      <c r="R190" s="155"/>
      <c r="S190" s="34"/>
      <c r="T190" s="156"/>
      <c r="U190" s="156"/>
      <c r="V190" s="34"/>
      <c r="W190" s="103"/>
      <c r="X190" s="82"/>
      <c r="Y190" s="34"/>
      <c r="Z190" s="34"/>
      <c r="AA190" s="34"/>
      <c r="AB190" s="104"/>
      <c r="AC190" s="104"/>
      <c r="AD190" s="34"/>
    </row>
    <row r="191" ht="15.75" customHeight="1">
      <c r="A191" s="34"/>
      <c r="B191" s="152"/>
      <c r="C191" s="152"/>
      <c r="D191" s="152"/>
      <c r="E191" s="153"/>
      <c r="F191" s="34"/>
      <c r="G191" s="152"/>
      <c r="H191" s="152"/>
      <c r="I191" s="152"/>
      <c r="J191" s="152"/>
      <c r="K191" s="152"/>
      <c r="L191" s="154"/>
      <c r="M191" s="154"/>
      <c r="N191" s="104"/>
      <c r="O191" s="104"/>
      <c r="P191" s="155"/>
      <c r="Q191" s="104"/>
      <c r="R191" s="155"/>
      <c r="S191" s="34"/>
      <c r="T191" s="156"/>
      <c r="U191" s="156"/>
      <c r="V191" s="34"/>
      <c r="W191" s="103"/>
      <c r="X191" s="82"/>
      <c r="Y191" s="34"/>
      <c r="Z191" s="34"/>
      <c r="AA191" s="34"/>
      <c r="AB191" s="104"/>
      <c r="AC191" s="104"/>
      <c r="AD191" s="34"/>
    </row>
    <row r="192" ht="15.75" customHeight="1">
      <c r="A192" s="34"/>
      <c r="B192" s="152"/>
      <c r="C192" s="152"/>
      <c r="D192" s="152"/>
      <c r="E192" s="153"/>
      <c r="F192" s="34"/>
      <c r="G192" s="152"/>
      <c r="H192" s="152"/>
      <c r="I192" s="152"/>
      <c r="J192" s="152"/>
      <c r="K192" s="152"/>
      <c r="L192" s="154"/>
      <c r="M192" s="154"/>
      <c r="N192" s="104"/>
      <c r="O192" s="104"/>
      <c r="P192" s="155"/>
      <c r="Q192" s="104"/>
      <c r="R192" s="155"/>
      <c r="S192" s="34"/>
      <c r="T192" s="156"/>
      <c r="U192" s="156"/>
      <c r="V192" s="34"/>
      <c r="W192" s="103"/>
      <c r="X192" s="82"/>
      <c r="Y192" s="34"/>
      <c r="Z192" s="34"/>
      <c r="AA192" s="34"/>
      <c r="AB192" s="104"/>
      <c r="AC192" s="104"/>
      <c r="AD192" s="34"/>
    </row>
    <row r="193" ht="15.75" customHeight="1">
      <c r="A193" s="34"/>
      <c r="B193" s="152"/>
      <c r="C193" s="152"/>
      <c r="D193" s="152"/>
      <c r="E193" s="153"/>
      <c r="F193" s="34"/>
      <c r="G193" s="152"/>
      <c r="H193" s="152"/>
      <c r="I193" s="152"/>
      <c r="J193" s="152"/>
      <c r="K193" s="152"/>
      <c r="L193" s="154"/>
      <c r="M193" s="154"/>
      <c r="N193" s="104"/>
      <c r="O193" s="104"/>
      <c r="P193" s="155"/>
      <c r="Q193" s="104"/>
      <c r="R193" s="155"/>
      <c r="S193" s="34"/>
      <c r="T193" s="156"/>
      <c r="U193" s="156"/>
      <c r="V193" s="34"/>
      <c r="W193" s="103"/>
      <c r="X193" s="82"/>
      <c r="Y193" s="34"/>
      <c r="Z193" s="34"/>
      <c r="AA193" s="34"/>
      <c r="AB193" s="104"/>
      <c r="AC193" s="104"/>
      <c r="AD193" s="34"/>
    </row>
    <row r="194" ht="15.75" customHeight="1">
      <c r="A194" s="34"/>
      <c r="B194" s="152"/>
      <c r="C194" s="152"/>
      <c r="D194" s="152"/>
      <c r="E194" s="153"/>
      <c r="F194" s="34"/>
      <c r="G194" s="152"/>
      <c r="H194" s="152"/>
      <c r="I194" s="152"/>
      <c r="J194" s="152"/>
      <c r="K194" s="152"/>
      <c r="L194" s="154"/>
      <c r="M194" s="154"/>
      <c r="N194" s="104"/>
      <c r="O194" s="104"/>
      <c r="P194" s="155"/>
      <c r="Q194" s="104"/>
      <c r="R194" s="155"/>
      <c r="S194" s="34"/>
      <c r="T194" s="156"/>
      <c r="U194" s="156"/>
      <c r="V194" s="34"/>
      <c r="W194" s="103"/>
      <c r="X194" s="82"/>
      <c r="Y194" s="34"/>
      <c r="Z194" s="34"/>
      <c r="AA194" s="34"/>
      <c r="AB194" s="104"/>
      <c r="AC194" s="104"/>
      <c r="AD194" s="34"/>
    </row>
    <row r="195" ht="15.75" customHeight="1">
      <c r="A195" s="34"/>
      <c r="B195" s="152"/>
      <c r="C195" s="152"/>
      <c r="D195" s="152"/>
      <c r="E195" s="153"/>
      <c r="F195" s="34"/>
      <c r="G195" s="152"/>
      <c r="H195" s="152"/>
      <c r="I195" s="152"/>
      <c r="J195" s="152"/>
      <c r="K195" s="152"/>
      <c r="L195" s="154"/>
      <c r="M195" s="154"/>
      <c r="N195" s="104"/>
      <c r="O195" s="104"/>
      <c r="P195" s="155"/>
      <c r="Q195" s="104"/>
      <c r="R195" s="155"/>
      <c r="S195" s="34"/>
      <c r="T195" s="156"/>
      <c r="U195" s="156"/>
      <c r="V195" s="34"/>
      <c r="W195" s="103"/>
      <c r="X195" s="82"/>
      <c r="Y195" s="34"/>
      <c r="Z195" s="34"/>
      <c r="AA195" s="34"/>
      <c r="AB195" s="104"/>
      <c r="AC195" s="104"/>
      <c r="AD195" s="34"/>
    </row>
    <row r="196" ht="15.75" customHeight="1">
      <c r="A196" s="34"/>
      <c r="B196" s="152"/>
      <c r="C196" s="152"/>
      <c r="D196" s="152"/>
      <c r="E196" s="153"/>
      <c r="F196" s="34"/>
      <c r="G196" s="152"/>
      <c r="H196" s="152"/>
      <c r="I196" s="152"/>
      <c r="J196" s="152"/>
      <c r="K196" s="152"/>
      <c r="L196" s="154"/>
      <c r="M196" s="154"/>
      <c r="N196" s="104"/>
      <c r="O196" s="104"/>
      <c r="P196" s="155"/>
      <c r="Q196" s="104"/>
      <c r="R196" s="155"/>
      <c r="S196" s="34"/>
      <c r="T196" s="156"/>
      <c r="U196" s="156"/>
      <c r="V196" s="34"/>
      <c r="W196" s="103"/>
      <c r="X196" s="82"/>
      <c r="Y196" s="34"/>
      <c r="Z196" s="34"/>
      <c r="AA196" s="34"/>
      <c r="AB196" s="104"/>
      <c r="AC196" s="104"/>
      <c r="AD196" s="34"/>
    </row>
    <row r="197" ht="15.75" customHeight="1">
      <c r="A197" s="34"/>
      <c r="B197" s="152"/>
      <c r="C197" s="152"/>
      <c r="D197" s="152"/>
      <c r="E197" s="153"/>
      <c r="F197" s="34"/>
      <c r="G197" s="152"/>
      <c r="H197" s="152"/>
      <c r="I197" s="152"/>
      <c r="J197" s="152"/>
      <c r="K197" s="152"/>
      <c r="L197" s="154"/>
      <c r="M197" s="154"/>
      <c r="N197" s="104"/>
      <c r="O197" s="104"/>
      <c r="P197" s="155"/>
      <c r="Q197" s="104"/>
      <c r="R197" s="155"/>
      <c r="S197" s="34"/>
      <c r="T197" s="156"/>
      <c r="U197" s="156"/>
      <c r="V197" s="34"/>
      <c r="W197" s="103"/>
      <c r="X197" s="82"/>
      <c r="Y197" s="34"/>
      <c r="Z197" s="34"/>
      <c r="AA197" s="34"/>
      <c r="AB197" s="104"/>
      <c r="AC197" s="104"/>
      <c r="AD197" s="34"/>
    </row>
    <row r="198" ht="15.75" customHeight="1">
      <c r="A198" s="34"/>
      <c r="B198" s="152"/>
      <c r="C198" s="152"/>
      <c r="D198" s="152"/>
      <c r="E198" s="153"/>
      <c r="F198" s="34"/>
      <c r="G198" s="152"/>
      <c r="H198" s="152"/>
      <c r="I198" s="152"/>
      <c r="J198" s="152"/>
      <c r="K198" s="152"/>
      <c r="L198" s="154"/>
      <c r="M198" s="154"/>
      <c r="N198" s="104"/>
      <c r="O198" s="104"/>
      <c r="P198" s="155"/>
      <c r="Q198" s="104"/>
      <c r="R198" s="155"/>
      <c r="S198" s="34"/>
      <c r="T198" s="156"/>
      <c r="U198" s="156"/>
      <c r="V198" s="34"/>
      <c r="W198" s="103"/>
      <c r="X198" s="82"/>
      <c r="Y198" s="34"/>
      <c r="Z198" s="34"/>
      <c r="AA198" s="34"/>
      <c r="AB198" s="104"/>
      <c r="AC198" s="104"/>
      <c r="AD198" s="34"/>
    </row>
    <row r="199" ht="15.75" customHeight="1">
      <c r="A199" s="34"/>
      <c r="B199" s="152"/>
      <c r="C199" s="152"/>
      <c r="D199" s="152"/>
      <c r="E199" s="153"/>
      <c r="F199" s="34"/>
      <c r="G199" s="152"/>
      <c r="H199" s="152"/>
      <c r="I199" s="152"/>
      <c r="J199" s="152"/>
      <c r="K199" s="152"/>
      <c r="L199" s="154"/>
      <c r="M199" s="154"/>
      <c r="N199" s="104"/>
      <c r="O199" s="104"/>
      <c r="P199" s="155"/>
      <c r="Q199" s="104"/>
      <c r="R199" s="155"/>
      <c r="S199" s="34"/>
      <c r="T199" s="156"/>
      <c r="U199" s="156"/>
      <c r="V199" s="34"/>
      <c r="W199" s="103"/>
      <c r="X199" s="82"/>
      <c r="Y199" s="34"/>
      <c r="Z199" s="34"/>
      <c r="AA199" s="34"/>
      <c r="AB199" s="104"/>
      <c r="AC199" s="104"/>
      <c r="AD199" s="34"/>
    </row>
    <row r="200" ht="15.75" customHeight="1">
      <c r="A200" s="34"/>
      <c r="B200" s="152"/>
      <c r="C200" s="152"/>
      <c r="D200" s="152"/>
      <c r="E200" s="153"/>
      <c r="F200" s="34"/>
      <c r="G200" s="152"/>
      <c r="H200" s="152"/>
      <c r="I200" s="152"/>
      <c r="J200" s="152"/>
      <c r="K200" s="152"/>
      <c r="L200" s="154"/>
      <c r="M200" s="154"/>
      <c r="N200" s="104"/>
      <c r="O200" s="104"/>
      <c r="P200" s="155"/>
      <c r="Q200" s="104"/>
      <c r="R200" s="155"/>
      <c r="S200" s="34"/>
      <c r="T200" s="156"/>
      <c r="U200" s="156"/>
      <c r="V200" s="34"/>
      <c r="W200" s="103"/>
      <c r="X200" s="82"/>
      <c r="Y200" s="34"/>
      <c r="Z200" s="34"/>
      <c r="AA200" s="34"/>
      <c r="AB200" s="104"/>
      <c r="AC200" s="104"/>
      <c r="AD200" s="34"/>
    </row>
    <row r="201" ht="15.75" customHeight="1">
      <c r="A201" s="34"/>
      <c r="B201" s="152"/>
      <c r="C201" s="152"/>
      <c r="D201" s="152"/>
      <c r="E201" s="153"/>
      <c r="F201" s="34"/>
      <c r="G201" s="152"/>
      <c r="H201" s="152"/>
      <c r="I201" s="152"/>
      <c r="J201" s="152"/>
      <c r="K201" s="152"/>
      <c r="L201" s="154"/>
      <c r="M201" s="154"/>
      <c r="N201" s="104"/>
      <c r="O201" s="104"/>
      <c r="P201" s="155"/>
      <c r="Q201" s="104"/>
      <c r="R201" s="155"/>
      <c r="S201" s="34"/>
      <c r="T201" s="156"/>
      <c r="U201" s="156"/>
      <c r="V201" s="34"/>
      <c r="W201" s="103"/>
      <c r="X201" s="82"/>
      <c r="Y201" s="34"/>
      <c r="Z201" s="34"/>
      <c r="AA201" s="34"/>
      <c r="AB201" s="104"/>
      <c r="AC201" s="104"/>
      <c r="AD201" s="34"/>
    </row>
    <row r="202" ht="15.75" customHeight="1">
      <c r="A202" s="34"/>
      <c r="B202" s="152"/>
      <c r="C202" s="152"/>
      <c r="D202" s="152"/>
      <c r="E202" s="153"/>
      <c r="F202" s="34"/>
      <c r="G202" s="152"/>
      <c r="H202" s="152"/>
      <c r="I202" s="152"/>
      <c r="J202" s="152"/>
      <c r="K202" s="152"/>
      <c r="L202" s="154"/>
      <c r="M202" s="154"/>
      <c r="N202" s="104"/>
      <c r="O202" s="104"/>
      <c r="P202" s="155"/>
      <c r="Q202" s="104"/>
      <c r="R202" s="155"/>
      <c r="S202" s="34"/>
      <c r="T202" s="156"/>
      <c r="U202" s="156"/>
      <c r="V202" s="34"/>
      <c r="W202" s="103"/>
      <c r="X202" s="82"/>
      <c r="Y202" s="34"/>
      <c r="Z202" s="34"/>
      <c r="AA202" s="34"/>
      <c r="AB202" s="104"/>
      <c r="AC202" s="104"/>
      <c r="AD202" s="34"/>
    </row>
    <row r="203" ht="15.75" customHeight="1">
      <c r="A203" s="34"/>
      <c r="B203" s="152"/>
      <c r="C203" s="152"/>
      <c r="D203" s="152"/>
      <c r="E203" s="153"/>
      <c r="F203" s="34"/>
      <c r="G203" s="152"/>
      <c r="H203" s="152"/>
      <c r="I203" s="152"/>
      <c r="J203" s="152"/>
      <c r="K203" s="152"/>
      <c r="L203" s="154"/>
      <c r="M203" s="154"/>
      <c r="N203" s="104"/>
      <c r="O203" s="104"/>
      <c r="P203" s="155"/>
      <c r="Q203" s="104"/>
      <c r="R203" s="155"/>
      <c r="S203" s="34"/>
      <c r="T203" s="156"/>
      <c r="U203" s="156"/>
      <c r="V203" s="34"/>
      <c r="W203" s="103"/>
      <c r="X203" s="82"/>
      <c r="Y203" s="34"/>
      <c r="Z203" s="34"/>
      <c r="AA203" s="34"/>
      <c r="AB203" s="104"/>
      <c r="AC203" s="104"/>
      <c r="AD203" s="34"/>
    </row>
    <row r="204" ht="15.75" customHeight="1">
      <c r="A204" s="34"/>
      <c r="B204" s="152"/>
      <c r="C204" s="152"/>
      <c r="D204" s="152"/>
      <c r="E204" s="153"/>
      <c r="F204" s="34"/>
      <c r="G204" s="152"/>
      <c r="H204" s="152"/>
      <c r="I204" s="152"/>
      <c r="J204" s="152"/>
      <c r="K204" s="152"/>
      <c r="L204" s="154"/>
      <c r="M204" s="154"/>
      <c r="N204" s="104"/>
      <c r="O204" s="104"/>
      <c r="P204" s="155"/>
      <c r="Q204" s="104"/>
      <c r="R204" s="155"/>
      <c r="S204" s="34"/>
      <c r="T204" s="156"/>
      <c r="U204" s="156"/>
      <c r="V204" s="34"/>
      <c r="W204" s="103"/>
      <c r="X204" s="82"/>
      <c r="Y204" s="34"/>
      <c r="Z204" s="34"/>
      <c r="AA204" s="34"/>
      <c r="AB204" s="104"/>
      <c r="AC204" s="104"/>
      <c r="AD204" s="34"/>
    </row>
    <row r="205" ht="15.75" customHeight="1">
      <c r="A205" s="34"/>
      <c r="B205" s="152"/>
      <c r="C205" s="152"/>
      <c r="D205" s="152"/>
      <c r="E205" s="153"/>
      <c r="F205" s="34"/>
      <c r="G205" s="152"/>
      <c r="H205" s="152"/>
      <c r="I205" s="152"/>
      <c r="J205" s="152"/>
      <c r="K205" s="152"/>
      <c r="L205" s="154"/>
      <c r="M205" s="154"/>
      <c r="N205" s="104"/>
      <c r="O205" s="104"/>
      <c r="P205" s="155"/>
      <c r="Q205" s="104"/>
      <c r="R205" s="155"/>
      <c r="S205" s="34"/>
      <c r="T205" s="156"/>
      <c r="U205" s="156"/>
      <c r="V205" s="34"/>
      <c r="W205" s="103"/>
      <c r="X205" s="82"/>
      <c r="Y205" s="34"/>
      <c r="Z205" s="34"/>
      <c r="AA205" s="34"/>
      <c r="AB205" s="104"/>
      <c r="AC205" s="104"/>
      <c r="AD205" s="34"/>
    </row>
    <row r="206" ht="15.75" customHeight="1">
      <c r="A206" s="34"/>
      <c r="B206" s="152"/>
      <c r="C206" s="152"/>
      <c r="D206" s="152"/>
      <c r="E206" s="153"/>
      <c r="F206" s="34"/>
      <c r="G206" s="152"/>
      <c r="H206" s="152"/>
      <c r="I206" s="152"/>
      <c r="J206" s="152"/>
      <c r="K206" s="152"/>
      <c r="L206" s="154"/>
      <c r="M206" s="154"/>
      <c r="N206" s="104"/>
      <c r="O206" s="104"/>
      <c r="P206" s="155"/>
      <c r="Q206" s="104"/>
      <c r="R206" s="155"/>
      <c r="S206" s="34"/>
      <c r="T206" s="156"/>
      <c r="U206" s="156"/>
      <c r="V206" s="34"/>
      <c r="W206" s="103"/>
      <c r="X206" s="82"/>
      <c r="Y206" s="34"/>
      <c r="Z206" s="34"/>
      <c r="AA206" s="34"/>
      <c r="AB206" s="104"/>
      <c r="AC206" s="104"/>
      <c r="AD206" s="34"/>
    </row>
    <row r="207" ht="15.75" customHeight="1">
      <c r="A207" s="34"/>
      <c r="B207" s="152"/>
      <c r="C207" s="152"/>
      <c r="D207" s="152"/>
      <c r="E207" s="153"/>
      <c r="F207" s="34"/>
      <c r="G207" s="152"/>
      <c r="H207" s="152"/>
      <c r="I207" s="152"/>
      <c r="J207" s="152"/>
      <c r="K207" s="152"/>
      <c r="L207" s="154"/>
      <c r="M207" s="154"/>
      <c r="N207" s="104"/>
      <c r="O207" s="104"/>
      <c r="P207" s="155"/>
      <c r="Q207" s="104"/>
      <c r="R207" s="155"/>
      <c r="S207" s="34"/>
      <c r="T207" s="156"/>
      <c r="U207" s="156"/>
      <c r="V207" s="34"/>
      <c r="W207" s="103"/>
      <c r="X207" s="82"/>
      <c r="Y207" s="34"/>
      <c r="Z207" s="34"/>
      <c r="AA207" s="34"/>
      <c r="AB207" s="104"/>
      <c r="AC207" s="104"/>
      <c r="AD207" s="34"/>
    </row>
    <row r="208" ht="15.75" customHeight="1">
      <c r="A208" s="34"/>
      <c r="B208" s="152"/>
      <c r="C208" s="152"/>
      <c r="D208" s="152"/>
      <c r="E208" s="153"/>
      <c r="F208" s="34"/>
      <c r="G208" s="152"/>
      <c r="H208" s="152"/>
      <c r="I208" s="152"/>
      <c r="J208" s="152"/>
      <c r="K208" s="152"/>
      <c r="L208" s="154"/>
      <c r="M208" s="154"/>
      <c r="N208" s="104"/>
      <c r="O208" s="104"/>
      <c r="P208" s="155"/>
      <c r="Q208" s="104"/>
      <c r="R208" s="155"/>
      <c r="S208" s="34"/>
      <c r="T208" s="156"/>
      <c r="U208" s="156"/>
      <c r="V208" s="34"/>
      <c r="W208" s="103"/>
      <c r="X208" s="82"/>
      <c r="Y208" s="34"/>
      <c r="Z208" s="34"/>
      <c r="AA208" s="34"/>
      <c r="AB208" s="104"/>
      <c r="AC208" s="104"/>
      <c r="AD208" s="34"/>
    </row>
    <row r="209" ht="15.75" customHeight="1">
      <c r="A209" s="34"/>
      <c r="B209" s="152"/>
      <c r="C209" s="152"/>
      <c r="D209" s="152"/>
      <c r="E209" s="153"/>
      <c r="F209" s="34"/>
      <c r="G209" s="152"/>
      <c r="H209" s="152"/>
      <c r="I209" s="152"/>
      <c r="J209" s="152"/>
      <c r="K209" s="152"/>
      <c r="L209" s="154"/>
      <c r="M209" s="154"/>
      <c r="N209" s="104"/>
      <c r="O209" s="104"/>
      <c r="P209" s="155"/>
      <c r="Q209" s="104"/>
      <c r="R209" s="155"/>
      <c r="S209" s="34"/>
      <c r="T209" s="156"/>
      <c r="U209" s="156"/>
      <c r="V209" s="34"/>
      <c r="W209" s="103"/>
      <c r="X209" s="82"/>
      <c r="Y209" s="34"/>
      <c r="Z209" s="34"/>
      <c r="AA209" s="34"/>
      <c r="AB209" s="104"/>
      <c r="AC209" s="104"/>
      <c r="AD209" s="34"/>
    </row>
    <row r="210" ht="15.75" customHeight="1">
      <c r="A210" s="34"/>
      <c r="B210" s="152"/>
      <c r="C210" s="152"/>
      <c r="D210" s="152"/>
      <c r="E210" s="153"/>
      <c r="F210" s="34"/>
      <c r="G210" s="152"/>
      <c r="H210" s="152"/>
      <c r="I210" s="152"/>
      <c r="J210" s="152"/>
      <c r="K210" s="152"/>
      <c r="L210" s="154"/>
      <c r="M210" s="154"/>
      <c r="N210" s="104"/>
      <c r="O210" s="104"/>
      <c r="P210" s="155"/>
      <c r="Q210" s="104"/>
      <c r="R210" s="155"/>
      <c r="S210" s="34"/>
      <c r="T210" s="156"/>
      <c r="U210" s="156"/>
      <c r="V210" s="34"/>
      <c r="W210" s="103"/>
      <c r="X210" s="82"/>
      <c r="Y210" s="34"/>
      <c r="Z210" s="34"/>
      <c r="AA210" s="34"/>
      <c r="AB210" s="104"/>
      <c r="AC210" s="104"/>
      <c r="AD210" s="34"/>
    </row>
    <row r="211" ht="15.75" customHeight="1">
      <c r="A211" s="34"/>
      <c r="B211" s="152"/>
      <c r="C211" s="152"/>
      <c r="D211" s="152"/>
      <c r="E211" s="153"/>
      <c r="F211" s="34"/>
      <c r="G211" s="152"/>
      <c r="H211" s="152"/>
      <c r="I211" s="152"/>
      <c r="J211" s="152"/>
      <c r="K211" s="152"/>
      <c r="L211" s="154"/>
      <c r="M211" s="154"/>
      <c r="N211" s="104"/>
      <c r="O211" s="104"/>
      <c r="P211" s="155"/>
      <c r="Q211" s="104"/>
      <c r="R211" s="155"/>
      <c r="S211" s="34"/>
      <c r="T211" s="156"/>
      <c r="U211" s="156"/>
      <c r="V211" s="34"/>
      <c r="W211" s="103"/>
      <c r="X211" s="82"/>
      <c r="Y211" s="34"/>
      <c r="Z211" s="34"/>
      <c r="AA211" s="34"/>
      <c r="AB211" s="104"/>
      <c r="AC211" s="104"/>
      <c r="AD211" s="34"/>
    </row>
    <row r="212" ht="15.75" customHeight="1">
      <c r="A212" s="34"/>
      <c r="B212" s="152"/>
      <c r="C212" s="152"/>
      <c r="D212" s="152"/>
      <c r="E212" s="153"/>
      <c r="F212" s="34"/>
      <c r="G212" s="152"/>
      <c r="H212" s="152"/>
      <c r="I212" s="152"/>
      <c r="J212" s="152"/>
      <c r="K212" s="152"/>
      <c r="L212" s="154"/>
      <c r="M212" s="154"/>
      <c r="N212" s="104"/>
      <c r="O212" s="104"/>
      <c r="P212" s="155"/>
      <c r="Q212" s="104"/>
      <c r="R212" s="155"/>
      <c r="S212" s="34"/>
      <c r="T212" s="156"/>
      <c r="U212" s="156"/>
      <c r="V212" s="34"/>
      <c r="W212" s="103"/>
      <c r="X212" s="82"/>
      <c r="Y212" s="34"/>
      <c r="Z212" s="34"/>
      <c r="AA212" s="34"/>
      <c r="AB212" s="104"/>
      <c r="AC212" s="104"/>
      <c r="AD212" s="34"/>
    </row>
    <row r="213" ht="15.75" customHeight="1">
      <c r="A213" s="34"/>
      <c r="B213" s="152"/>
      <c r="C213" s="152"/>
      <c r="D213" s="152"/>
      <c r="E213" s="153"/>
      <c r="F213" s="34"/>
      <c r="G213" s="152"/>
      <c r="H213" s="152"/>
      <c r="I213" s="152"/>
      <c r="J213" s="152"/>
      <c r="K213" s="152"/>
      <c r="L213" s="154"/>
      <c r="M213" s="154"/>
      <c r="N213" s="104"/>
      <c r="O213" s="104"/>
      <c r="P213" s="155"/>
      <c r="Q213" s="104"/>
      <c r="R213" s="155"/>
      <c r="S213" s="34"/>
      <c r="T213" s="156"/>
      <c r="U213" s="156"/>
      <c r="V213" s="34"/>
      <c r="W213" s="103"/>
      <c r="X213" s="82"/>
      <c r="Y213" s="34"/>
      <c r="Z213" s="34"/>
      <c r="AD213" s="34"/>
    </row>
    <row r="214" ht="15.75" customHeight="1">
      <c r="A214" s="34"/>
      <c r="B214" s="152"/>
      <c r="C214" s="152"/>
      <c r="D214" s="152"/>
      <c r="E214" s="153"/>
      <c r="F214" s="34"/>
      <c r="G214" s="152"/>
      <c r="H214" s="152"/>
      <c r="I214" s="152"/>
      <c r="J214" s="152"/>
      <c r="K214" s="152"/>
      <c r="L214" s="154"/>
      <c r="M214" s="154"/>
      <c r="N214" s="104"/>
      <c r="O214" s="104"/>
      <c r="P214" s="155"/>
      <c r="Q214" s="104"/>
      <c r="R214" s="155"/>
      <c r="S214" s="34"/>
      <c r="T214" s="156"/>
      <c r="U214" s="156"/>
      <c r="V214" s="34"/>
      <c r="W214" s="103"/>
      <c r="X214" s="82"/>
      <c r="Y214" s="34"/>
      <c r="Z214" s="34"/>
      <c r="AA214" s="75"/>
      <c r="AB214" s="76"/>
      <c r="AC214" s="76"/>
      <c r="AD214" s="34"/>
    </row>
    <row r="215" ht="15.75" customHeight="1">
      <c r="A215" s="34"/>
      <c r="B215" s="152"/>
      <c r="C215" s="152"/>
      <c r="D215" s="152"/>
      <c r="E215" s="153"/>
      <c r="F215" s="34"/>
      <c r="G215" s="152"/>
      <c r="H215" s="152"/>
      <c r="I215" s="152"/>
      <c r="J215" s="152"/>
      <c r="K215" s="152"/>
      <c r="L215" s="154"/>
      <c r="M215" s="154"/>
      <c r="N215" s="104"/>
      <c r="O215" s="104"/>
      <c r="P215" s="155"/>
      <c r="Q215" s="104"/>
      <c r="R215" s="155"/>
      <c r="S215" s="34"/>
      <c r="T215" s="156"/>
      <c r="U215" s="156"/>
      <c r="V215" s="34"/>
      <c r="W215" s="103"/>
      <c r="X215" s="82"/>
      <c r="Y215" s="34"/>
      <c r="Z215" s="34"/>
      <c r="AA215" s="75"/>
      <c r="AB215" s="76"/>
      <c r="AC215" s="76"/>
      <c r="AD215" s="34"/>
    </row>
    <row r="216" ht="15.75" customHeight="1">
      <c r="A216" s="34"/>
      <c r="B216" s="152"/>
      <c r="C216" s="152"/>
      <c r="D216" s="152"/>
      <c r="E216" s="153"/>
      <c r="F216" s="34"/>
      <c r="G216" s="152"/>
      <c r="H216" s="152"/>
      <c r="I216" s="152"/>
      <c r="J216" s="152"/>
      <c r="K216" s="152"/>
      <c r="L216" s="154"/>
      <c r="M216" s="154"/>
      <c r="N216" s="104"/>
      <c r="O216" s="104"/>
      <c r="P216" s="155"/>
      <c r="Q216" s="104"/>
      <c r="R216" s="155"/>
      <c r="S216" s="34"/>
      <c r="T216" s="156"/>
      <c r="U216" s="156"/>
      <c r="V216" s="34"/>
      <c r="W216" s="103"/>
      <c r="X216" s="82"/>
      <c r="Y216" s="34"/>
      <c r="Z216" s="34"/>
      <c r="AA216" s="75"/>
      <c r="AB216" s="76"/>
      <c r="AC216" s="76"/>
      <c r="AD216" s="34"/>
    </row>
    <row r="217" ht="15.75" customHeight="1">
      <c r="A217" s="34"/>
      <c r="B217" s="152"/>
      <c r="C217" s="152"/>
      <c r="D217" s="152"/>
      <c r="E217" s="153"/>
      <c r="F217" s="34"/>
      <c r="G217" s="152"/>
      <c r="H217" s="152"/>
      <c r="I217" s="152"/>
      <c r="J217" s="152"/>
      <c r="K217" s="152"/>
      <c r="L217" s="154"/>
      <c r="M217" s="154"/>
      <c r="N217" s="104"/>
      <c r="O217" s="104"/>
      <c r="P217" s="155"/>
      <c r="Q217" s="104"/>
      <c r="R217" s="155"/>
      <c r="S217" s="34"/>
      <c r="T217" s="156"/>
      <c r="U217" s="156"/>
      <c r="V217" s="34"/>
      <c r="W217" s="103"/>
      <c r="X217" s="82"/>
      <c r="Y217" s="34"/>
      <c r="Z217" s="34"/>
      <c r="AA217" s="75"/>
      <c r="AB217" s="76"/>
      <c r="AC217" s="76"/>
      <c r="AD217" s="34"/>
    </row>
    <row r="218" ht="15.75" customHeight="1">
      <c r="A218" s="34"/>
      <c r="B218" s="152"/>
      <c r="C218" s="152"/>
      <c r="D218" s="152"/>
      <c r="E218" s="153"/>
      <c r="F218" s="34"/>
      <c r="G218" s="152"/>
      <c r="H218" s="152"/>
      <c r="I218" s="152"/>
      <c r="J218" s="152"/>
      <c r="K218" s="152"/>
      <c r="L218" s="154"/>
      <c r="M218" s="154"/>
      <c r="N218" s="104"/>
      <c r="O218" s="104"/>
      <c r="P218" s="155"/>
      <c r="Q218" s="104"/>
      <c r="R218" s="155"/>
      <c r="S218" s="34"/>
      <c r="T218" s="156"/>
      <c r="U218" s="156"/>
      <c r="V218" s="34"/>
      <c r="W218" s="103"/>
      <c r="X218" s="82"/>
      <c r="Y218" s="34"/>
      <c r="Z218" s="34"/>
      <c r="AA218" s="75"/>
      <c r="AB218" s="76"/>
      <c r="AC218" s="76"/>
      <c r="AD218" s="34"/>
    </row>
    <row r="219" ht="15.75" customHeight="1">
      <c r="A219" s="34"/>
      <c r="B219" s="152"/>
      <c r="C219" s="152"/>
      <c r="D219" s="152"/>
      <c r="E219" s="153"/>
      <c r="F219" s="34"/>
      <c r="G219" s="152"/>
      <c r="H219" s="152"/>
      <c r="I219" s="152"/>
      <c r="J219" s="152"/>
      <c r="K219" s="152"/>
      <c r="L219" s="154"/>
      <c r="M219" s="154"/>
      <c r="N219" s="104"/>
      <c r="O219" s="104"/>
      <c r="P219" s="155"/>
      <c r="Q219" s="104"/>
      <c r="R219" s="155"/>
      <c r="S219" s="34"/>
      <c r="T219" s="156"/>
      <c r="U219" s="156"/>
      <c r="V219" s="34"/>
      <c r="W219" s="103"/>
      <c r="X219" s="82"/>
      <c r="Y219" s="34"/>
      <c r="Z219" s="34"/>
      <c r="AA219" s="75"/>
      <c r="AB219" s="76"/>
      <c r="AC219" s="76"/>
      <c r="AD219" s="34"/>
    </row>
    <row r="220" ht="15.75" customHeight="1">
      <c r="A220" s="34"/>
      <c r="B220" s="152"/>
      <c r="C220" s="152"/>
      <c r="D220" s="152"/>
      <c r="E220" s="153"/>
      <c r="F220" s="34"/>
      <c r="G220" s="152"/>
      <c r="H220" s="152"/>
      <c r="I220" s="152"/>
      <c r="J220" s="152"/>
      <c r="K220" s="152"/>
      <c r="L220" s="154"/>
      <c r="M220" s="154"/>
      <c r="N220" s="104"/>
      <c r="O220" s="104"/>
      <c r="P220" s="155"/>
      <c r="Q220" s="104"/>
      <c r="R220" s="155"/>
      <c r="S220" s="34"/>
      <c r="T220" s="156"/>
      <c r="U220" s="156"/>
      <c r="V220" s="34"/>
      <c r="W220" s="103"/>
      <c r="X220" s="82"/>
      <c r="Y220" s="34"/>
      <c r="Z220" s="34"/>
      <c r="AA220" s="75"/>
      <c r="AB220" s="76"/>
      <c r="AC220" s="76"/>
      <c r="AD220" s="34"/>
    </row>
    <row r="221" ht="15.75" customHeight="1">
      <c r="A221" s="34"/>
      <c r="B221" s="152"/>
      <c r="C221" s="152"/>
      <c r="D221" s="152"/>
      <c r="E221" s="153"/>
      <c r="F221" s="34"/>
      <c r="G221" s="152"/>
      <c r="H221" s="152"/>
      <c r="I221" s="152"/>
      <c r="J221" s="152"/>
      <c r="K221" s="152"/>
      <c r="L221" s="154"/>
      <c r="M221" s="154"/>
      <c r="N221" s="104"/>
      <c r="O221" s="104"/>
      <c r="P221" s="155"/>
      <c r="Q221" s="104"/>
      <c r="R221" s="155"/>
      <c r="S221" s="34"/>
      <c r="T221" s="156"/>
      <c r="U221" s="156"/>
      <c r="V221" s="34"/>
      <c r="W221" s="103"/>
      <c r="X221" s="82"/>
      <c r="Y221" s="34"/>
      <c r="Z221" s="34"/>
      <c r="AA221" s="75"/>
      <c r="AB221" s="76"/>
      <c r="AC221" s="76"/>
      <c r="AD221" s="34"/>
    </row>
    <row r="222" ht="15.75" customHeight="1">
      <c r="A222" s="34"/>
      <c r="B222" s="152"/>
      <c r="C222" s="152"/>
      <c r="D222" s="152"/>
      <c r="E222" s="153"/>
      <c r="F222" s="34"/>
      <c r="G222" s="152"/>
      <c r="H222" s="152"/>
      <c r="I222" s="152"/>
      <c r="J222" s="152"/>
      <c r="K222" s="152"/>
      <c r="L222" s="154"/>
      <c r="M222" s="154"/>
      <c r="N222" s="104"/>
      <c r="O222" s="104"/>
      <c r="P222" s="155"/>
      <c r="Q222" s="104"/>
      <c r="R222" s="155"/>
      <c r="S222" s="34"/>
      <c r="T222" s="156"/>
      <c r="U222" s="156"/>
      <c r="V222" s="34"/>
      <c r="W222" s="103"/>
      <c r="X222" s="82"/>
      <c r="Y222" s="34"/>
      <c r="Z222" s="34"/>
      <c r="AA222" s="75"/>
      <c r="AB222" s="76"/>
      <c r="AC222" s="76"/>
      <c r="AD222" s="34"/>
    </row>
    <row r="223" ht="15.75" customHeight="1">
      <c r="A223" s="34"/>
      <c r="B223" s="152"/>
      <c r="C223" s="152"/>
      <c r="D223" s="152"/>
      <c r="E223" s="153"/>
      <c r="F223" s="34"/>
      <c r="G223" s="152"/>
      <c r="H223" s="152"/>
      <c r="I223" s="152"/>
      <c r="J223" s="152"/>
      <c r="K223" s="152"/>
      <c r="L223" s="154"/>
      <c r="M223" s="154"/>
      <c r="N223" s="104"/>
      <c r="O223" s="104"/>
      <c r="P223" s="155"/>
      <c r="Q223" s="104"/>
      <c r="R223" s="155"/>
      <c r="S223" s="34"/>
      <c r="T223" s="156"/>
      <c r="U223" s="156"/>
      <c r="V223" s="34"/>
      <c r="W223" s="103"/>
      <c r="X223" s="82"/>
      <c r="Y223" s="34"/>
      <c r="Z223" s="34"/>
      <c r="AA223" s="75"/>
      <c r="AB223" s="76"/>
      <c r="AC223" s="76"/>
      <c r="AD223" s="34"/>
    </row>
    <row r="224" ht="15.75" customHeight="1">
      <c r="A224" s="34"/>
      <c r="B224" s="152"/>
      <c r="C224" s="152"/>
      <c r="D224" s="152"/>
      <c r="E224" s="153"/>
      <c r="F224" s="34"/>
      <c r="G224" s="152"/>
      <c r="H224" s="152"/>
      <c r="I224" s="152"/>
      <c r="J224" s="152"/>
      <c r="K224" s="152"/>
      <c r="L224" s="154"/>
      <c r="M224" s="154"/>
      <c r="N224" s="104"/>
      <c r="O224" s="104"/>
      <c r="P224" s="155"/>
      <c r="Q224" s="104"/>
      <c r="R224" s="155"/>
      <c r="S224" s="34"/>
      <c r="T224" s="156"/>
      <c r="U224" s="156"/>
      <c r="V224" s="34"/>
      <c r="W224" s="103"/>
      <c r="X224" s="82"/>
      <c r="Y224" s="34"/>
      <c r="Z224" s="34"/>
      <c r="AA224" s="75"/>
      <c r="AB224" s="76"/>
      <c r="AC224" s="76"/>
      <c r="AD224" s="34"/>
    </row>
    <row r="225" ht="15.75" customHeight="1">
      <c r="A225" s="34"/>
      <c r="B225" s="152"/>
      <c r="C225" s="152"/>
      <c r="D225" s="152"/>
      <c r="E225" s="153"/>
      <c r="F225" s="34"/>
      <c r="G225" s="152"/>
      <c r="H225" s="152"/>
      <c r="I225" s="152"/>
      <c r="J225" s="152"/>
      <c r="K225" s="152"/>
      <c r="L225" s="154"/>
      <c r="M225" s="154"/>
      <c r="N225" s="104"/>
      <c r="O225" s="104"/>
      <c r="P225" s="155"/>
      <c r="Q225" s="104"/>
      <c r="R225" s="155"/>
      <c r="S225" s="34"/>
      <c r="T225" s="156"/>
      <c r="U225" s="156"/>
      <c r="V225" s="34"/>
      <c r="W225" s="103"/>
      <c r="X225" s="82"/>
      <c r="Y225" s="34"/>
      <c r="Z225" s="34"/>
      <c r="AA225" s="75"/>
      <c r="AB225" s="76"/>
      <c r="AC225" s="76"/>
      <c r="AD225" s="34"/>
    </row>
    <row r="226" ht="15.75" customHeight="1">
      <c r="A226" s="34"/>
      <c r="B226" s="152"/>
      <c r="C226" s="152"/>
      <c r="D226" s="152"/>
      <c r="E226" s="153"/>
      <c r="F226" s="34"/>
      <c r="G226" s="152"/>
      <c r="H226" s="152"/>
      <c r="I226" s="152"/>
      <c r="J226" s="152"/>
      <c r="K226" s="152"/>
      <c r="L226" s="154"/>
      <c r="M226" s="154"/>
      <c r="N226" s="104"/>
      <c r="O226" s="104"/>
      <c r="P226" s="155"/>
      <c r="Q226" s="104"/>
      <c r="R226" s="155"/>
      <c r="S226" s="34"/>
      <c r="T226" s="156"/>
      <c r="U226" s="156"/>
      <c r="V226" s="34"/>
      <c r="W226" s="103"/>
      <c r="X226" s="82"/>
      <c r="Y226" s="34"/>
      <c r="Z226" s="34"/>
      <c r="AA226" s="75"/>
      <c r="AB226" s="76"/>
      <c r="AC226" s="76"/>
      <c r="AD226" s="34"/>
    </row>
    <row r="227" ht="15.75" customHeight="1">
      <c r="A227" s="34"/>
      <c r="B227" s="152"/>
      <c r="C227" s="152"/>
      <c r="D227" s="152"/>
      <c r="E227" s="153"/>
      <c r="F227" s="34"/>
      <c r="G227" s="152"/>
      <c r="H227" s="152"/>
      <c r="I227" s="152"/>
      <c r="J227" s="152"/>
      <c r="K227" s="152"/>
      <c r="L227" s="154"/>
      <c r="M227" s="154"/>
      <c r="N227" s="104"/>
      <c r="O227" s="104"/>
      <c r="P227" s="155"/>
      <c r="Q227" s="104"/>
      <c r="R227" s="155"/>
      <c r="S227" s="34"/>
      <c r="T227" s="156"/>
      <c r="U227" s="156"/>
      <c r="V227" s="34"/>
      <c r="W227" s="103"/>
      <c r="X227" s="82"/>
      <c r="Y227" s="34"/>
      <c r="Z227" s="34"/>
      <c r="AA227" s="75"/>
      <c r="AB227" s="76"/>
      <c r="AC227" s="76"/>
      <c r="AD227" s="34"/>
    </row>
    <row r="228" ht="15.75" customHeight="1">
      <c r="A228" s="34"/>
      <c r="B228" s="152"/>
      <c r="C228" s="152"/>
      <c r="D228" s="152"/>
      <c r="E228" s="153"/>
      <c r="F228" s="34"/>
      <c r="G228" s="152"/>
      <c r="H228" s="152"/>
      <c r="I228" s="152"/>
      <c r="J228" s="152"/>
      <c r="K228" s="152"/>
      <c r="L228" s="154"/>
      <c r="M228" s="154"/>
      <c r="N228" s="104"/>
      <c r="O228" s="104"/>
      <c r="P228" s="155"/>
      <c r="Q228" s="104"/>
      <c r="R228" s="155"/>
      <c r="S228" s="34"/>
      <c r="T228" s="156"/>
      <c r="U228" s="156"/>
      <c r="V228" s="34"/>
      <c r="W228" s="103"/>
      <c r="X228" s="82"/>
      <c r="Y228" s="34"/>
      <c r="Z228" s="34"/>
      <c r="AA228" s="75"/>
      <c r="AB228" s="76"/>
      <c r="AC228" s="76"/>
      <c r="AD228" s="34"/>
    </row>
    <row r="229" ht="15.75" customHeight="1">
      <c r="A229" s="34"/>
      <c r="B229" s="152"/>
      <c r="C229" s="152"/>
      <c r="D229" s="152"/>
      <c r="E229" s="153"/>
      <c r="F229" s="34"/>
      <c r="G229" s="152"/>
      <c r="H229" s="152"/>
      <c r="I229" s="152"/>
      <c r="J229" s="152"/>
      <c r="K229" s="152"/>
      <c r="L229" s="154"/>
      <c r="M229" s="154"/>
      <c r="N229" s="104"/>
      <c r="O229" s="104"/>
      <c r="P229" s="155"/>
      <c r="Q229" s="104"/>
      <c r="R229" s="155"/>
      <c r="S229" s="34"/>
      <c r="T229" s="156"/>
      <c r="U229" s="156"/>
      <c r="V229" s="34"/>
      <c r="W229" s="103"/>
      <c r="X229" s="82"/>
      <c r="Y229" s="34"/>
      <c r="Z229" s="34"/>
      <c r="AA229" s="75"/>
      <c r="AB229" s="76"/>
      <c r="AC229" s="76"/>
      <c r="AD229" s="34"/>
    </row>
    <row r="230" ht="15.75" customHeight="1">
      <c r="A230" s="34"/>
      <c r="B230" s="152"/>
      <c r="C230" s="152"/>
      <c r="D230" s="152"/>
      <c r="E230" s="153"/>
      <c r="F230" s="34"/>
      <c r="G230" s="152"/>
      <c r="H230" s="152"/>
      <c r="I230" s="152"/>
      <c r="J230" s="152"/>
      <c r="K230" s="152"/>
      <c r="L230" s="154"/>
      <c r="M230" s="154"/>
      <c r="N230" s="104"/>
      <c r="O230" s="104"/>
      <c r="P230" s="155"/>
      <c r="Q230" s="104"/>
      <c r="R230" s="155"/>
      <c r="S230" s="34"/>
      <c r="T230" s="156"/>
      <c r="U230" s="156"/>
      <c r="V230" s="34"/>
      <c r="W230" s="103"/>
      <c r="X230" s="82"/>
      <c r="Y230" s="34"/>
      <c r="Z230" s="34"/>
      <c r="AA230" s="75"/>
      <c r="AB230" s="76"/>
      <c r="AC230" s="76"/>
      <c r="AD230" s="34"/>
    </row>
    <row r="231" ht="15.75" customHeight="1">
      <c r="A231" s="34"/>
      <c r="B231" s="152"/>
      <c r="C231" s="152"/>
      <c r="D231" s="152"/>
      <c r="E231" s="153"/>
      <c r="F231" s="34"/>
      <c r="G231" s="152"/>
      <c r="H231" s="152"/>
      <c r="I231" s="152"/>
      <c r="J231" s="152"/>
      <c r="K231" s="152"/>
      <c r="L231" s="154"/>
      <c r="M231" s="154"/>
      <c r="N231" s="104"/>
      <c r="O231" s="104"/>
      <c r="P231" s="155"/>
      <c r="Q231" s="104"/>
      <c r="R231" s="155"/>
      <c r="S231" s="34"/>
      <c r="T231" s="156"/>
      <c r="U231" s="156"/>
      <c r="V231" s="34"/>
      <c r="W231" s="103"/>
      <c r="X231" s="82"/>
      <c r="Y231" s="34"/>
      <c r="Z231" s="34"/>
      <c r="AA231" s="75"/>
      <c r="AB231" s="76"/>
      <c r="AC231" s="76"/>
      <c r="AD231" s="34"/>
    </row>
    <row r="232" ht="15.75" customHeight="1">
      <c r="A232" s="34"/>
      <c r="B232" s="152"/>
      <c r="C232" s="152"/>
      <c r="D232" s="152"/>
      <c r="E232" s="153"/>
      <c r="F232" s="34"/>
      <c r="G232" s="152"/>
      <c r="H232" s="152"/>
      <c r="I232" s="152"/>
      <c r="J232" s="152"/>
      <c r="K232" s="152"/>
      <c r="L232" s="154"/>
      <c r="M232" s="154"/>
      <c r="N232" s="104"/>
      <c r="O232" s="104"/>
      <c r="P232" s="155"/>
      <c r="Q232" s="104"/>
      <c r="R232" s="155"/>
      <c r="S232" s="34"/>
      <c r="T232" s="156"/>
      <c r="U232" s="156"/>
      <c r="V232" s="34"/>
      <c r="W232" s="103"/>
      <c r="X232" s="82"/>
      <c r="Y232" s="34"/>
      <c r="Z232" s="34"/>
      <c r="AA232" s="75"/>
      <c r="AB232" s="76"/>
      <c r="AC232" s="76"/>
      <c r="AD232" s="34"/>
    </row>
    <row r="233" ht="15.75" customHeight="1">
      <c r="A233" s="34"/>
      <c r="B233" s="152"/>
      <c r="C233" s="152"/>
      <c r="D233" s="152"/>
      <c r="E233" s="153"/>
      <c r="F233" s="34"/>
      <c r="G233" s="152"/>
      <c r="H233" s="152"/>
      <c r="I233" s="152"/>
      <c r="J233" s="152"/>
      <c r="K233" s="152"/>
      <c r="L233" s="154"/>
      <c r="M233" s="154"/>
      <c r="N233" s="104"/>
      <c r="O233" s="104"/>
      <c r="P233" s="155"/>
      <c r="Q233" s="104"/>
      <c r="R233" s="155"/>
      <c r="S233" s="34"/>
      <c r="T233" s="156"/>
      <c r="U233" s="156"/>
      <c r="V233" s="34"/>
      <c r="W233" s="103"/>
      <c r="X233" s="82"/>
      <c r="Y233" s="34"/>
      <c r="Z233" s="34"/>
      <c r="AA233" s="75"/>
      <c r="AB233" s="76"/>
      <c r="AC233" s="76"/>
      <c r="AD233" s="34"/>
    </row>
    <row r="234" ht="15.75" customHeight="1">
      <c r="A234" s="34"/>
      <c r="B234" s="152"/>
      <c r="C234" s="152"/>
      <c r="D234" s="152"/>
      <c r="E234" s="153"/>
      <c r="F234" s="34"/>
      <c r="G234" s="152"/>
      <c r="H234" s="152"/>
      <c r="I234" s="152"/>
      <c r="J234" s="152"/>
      <c r="K234" s="152"/>
      <c r="L234" s="154"/>
      <c r="M234" s="154"/>
      <c r="N234" s="104"/>
      <c r="O234" s="104"/>
      <c r="P234" s="155"/>
      <c r="Q234" s="104"/>
      <c r="R234" s="155"/>
      <c r="S234" s="34"/>
      <c r="T234" s="156"/>
      <c r="U234" s="156"/>
      <c r="V234" s="34"/>
      <c r="W234" s="103"/>
      <c r="X234" s="82"/>
      <c r="Y234" s="34"/>
      <c r="Z234" s="34"/>
      <c r="AA234" s="75"/>
      <c r="AB234" s="76"/>
      <c r="AC234" s="76"/>
      <c r="AD234" s="34"/>
    </row>
    <row r="235" ht="15.75" customHeight="1">
      <c r="A235" s="34"/>
      <c r="B235" s="152"/>
      <c r="C235" s="152"/>
      <c r="D235" s="152"/>
      <c r="E235" s="153"/>
      <c r="F235" s="34"/>
      <c r="G235" s="152"/>
      <c r="H235" s="152"/>
      <c r="I235" s="152"/>
      <c r="J235" s="152"/>
      <c r="K235" s="152"/>
      <c r="L235" s="154"/>
      <c r="M235" s="154"/>
      <c r="N235" s="104"/>
      <c r="O235" s="104"/>
      <c r="P235" s="155"/>
      <c r="Q235" s="104"/>
      <c r="R235" s="155"/>
      <c r="S235" s="34"/>
      <c r="T235" s="156"/>
      <c r="U235" s="156"/>
      <c r="V235" s="34"/>
      <c r="W235" s="103"/>
      <c r="X235" s="82"/>
      <c r="Y235" s="34"/>
      <c r="Z235" s="34"/>
      <c r="AA235" s="75"/>
      <c r="AB235" s="76"/>
      <c r="AC235" s="76"/>
      <c r="AD235" s="34"/>
    </row>
    <row r="236" ht="15.75" customHeight="1">
      <c r="A236" s="34"/>
      <c r="B236" s="152"/>
      <c r="C236" s="152"/>
      <c r="D236" s="152"/>
      <c r="E236" s="153"/>
      <c r="F236" s="34"/>
      <c r="G236" s="152"/>
      <c r="H236" s="152"/>
      <c r="I236" s="152"/>
      <c r="J236" s="152"/>
      <c r="K236" s="152"/>
      <c r="L236" s="154"/>
      <c r="M236" s="154"/>
      <c r="N236" s="104"/>
      <c r="O236" s="104"/>
      <c r="P236" s="155"/>
      <c r="Q236" s="104"/>
      <c r="R236" s="155"/>
      <c r="S236" s="34"/>
      <c r="T236" s="156"/>
      <c r="U236" s="156"/>
      <c r="V236" s="34"/>
      <c r="W236" s="103"/>
      <c r="X236" s="82"/>
      <c r="Y236" s="34"/>
      <c r="Z236" s="34"/>
      <c r="AA236" s="75"/>
      <c r="AB236" s="76"/>
      <c r="AC236" s="76"/>
      <c r="AD236" s="34"/>
    </row>
    <row r="237" ht="15.75" customHeight="1">
      <c r="A237" s="34"/>
      <c r="B237" s="152"/>
      <c r="C237" s="152"/>
      <c r="D237" s="152"/>
      <c r="E237" s="153"/>
      <c r="F237" s="34"/>
      <c r="G237" s="152"/>
      <c r="H237" s="152"/>
      <c r="I237" s="152"/>
      <c r="J237" s="152"/>
      <c r="K237" s="152"/>
      <c r="L237" s="154"/>
      <c r="M237" s="154"/>
      <c r="N237" s="104"/>
      <c r="O237" s="104"/>
      <c r="P237" s="155"/>
      <c r="Q237" s="104"/>
      <c r="R237" s="155"/>
      <c r="S237" s="34"/>
      <c r="T237" s="156"/>
      <c r="U237" s="156"/>
      <c r="V237" s="34"/>
      <c r="W237" s="103"/>
      <c r="X237" s="82"/>
      <c r="Y237" s="34"/>
      <c r="Z237" s="34"/>
      <c r="AA237" s="75"/>
      <c r="AB237" s="76"/>
      <c r="AC237" s="76"/>
      <c r="AD237" s="34"/>
    </row>
    <row r="238" ht="15.75" customHeight="1">
      <c r="A238" s="34"/>
      <c r="B238" s="152"/>
      <c r="C238" s="152"/>
      <c r="D238" s="152"/>
      <c r="E238" s="153"/>
      <c r="F238" s="34"/>
      <c r="G238" s="152"/>
      <c r="H238" s="152"/>
      <c r="I238" s="152"/>
      <c r="J238" s="152"/>
      <c r="K238" s="152"/>
      <c r="L238" s="154"/>
      <c r="M238" s="154"/>
      <c r="N238" s="104"/>
      <c r="O238" s="104"/>
      <c r="P238" s="155"/>
      <c r="Q238" s="104"/>
      <c r="R238" s="155"/>
      <c r="S238" s="34"/>
      <c r="T238" s="156"/>
      <c r="U238" s="156"/>
      <c r="V238" s="34"/>
      <c r="W238" s="103"/>
      <c r="X238" s="82"/>
      <c r="Y238" s="34"/>
      <c r="Z238" s="34"/>
      <c r="AA238" s="75"/>
      <c r="AB238" s="76"/>
      <c r="AC238" s="76"/>
      <c r="AD238" s="34"/>
    </row>
    <row r="239" ht="15.75" customHeight="1">
      <c r="A239" s="34"/>
      <c r="B239" s="152"/>
      <c r="C239" s="152"/>
      <c r="D239" s="152"/>
      <c r="E239" s="153"/>
      <c r="F239" s="34"/>
      <c r="G239" s="152"/>
      <c r="H239" s="152"/>
      <c r="I239" s="152"/>
      <c r="J239" s="152"/>
      <c r="K239" s="152"/>
      <c r="L239" s="154"/>
      <c r="M239" s="154"/>
      <c r="N239" s="104"/>
      <c r="O239" s="104"/>
      <c r="P239" s="155"/>
      <c r="Q239" s="104"/>
      <c r="R239" s="155"/>
      <c r="S239" s="34"/>
      <c r="T239" s="156"/>
      <c r="U239" s="156"/>
      <c r="V239" s="34"/>
      <c r="W239" s="103"/>
      <c r="X239" s="82"/>
      <c r="Y239" s="34"/>
      <c r="Z239" s="34"/>
      <c r="AA239" s="75"/>
      <c r="AB239" s="76"/>
      <c r="AC239" s="76"/>
      <c r="AD239" s="34"/>
    </row>
    <row r="240" ht="15.75" customHeight="1">
      <c r="A240" s="34"/>
      <c r="B240" s="152"/>
      <c r="C240" s="152"/>
      <c r="D240" s="152"/>
      <c r="E240" s="153"/>
      <c r="F240" s="34"/>
      <c r="G240" s="152"/>
      <c r="H240" s="152"/>
      <c r="I240" s="152"/>
      <c r="J240" s="152"/>
      <c r="K240" s="152"/>
      <c r="L240" s="154"/>
      <c r="M240" s="154"/>
      <c r="N240" s="104"/>
      <c r="O240" s="104"/>
      <c r="P240" s="155"/>
      <c r="Q240" s="104"/>
      <c r="R240" s="155"/>
      <c r="S240" s="34"/>
      <c r="T240" s="156"/>
      <c r="U240" s="156"/>
      <c r="V240" s="34"/>
      <c r="W240" s="103"/>
      <c r="X240" s="82"/>
      <c r="Y240" s="34"/>
      <c r="Z240" s="34"/>
      <c r="AA240" s="75"/>
      <c r="AB240" s="76"/>
      <c r="AC240" s="76"/>
      <c r="AD240" s="34"/>
    </row>
    <row r="241" ht="15.75" customHeight="1">
      <c r="A241" s="34"/>
      <c r="B241" s="152"/>
      <c r="C241" s="152"/>
      <c r="D241" s="152"/>
      <c r="E241" s="153"/>
      <c r="F241" s="34"/>
      <c r="G241" s="152"/>
      <c r="H241" s="152"/>
      <c r="I241" s="152"/>
      <c r="J241" s="152"/>
      <c r="K241" s="152"/>
      <c r="L241" s="154"/>
      <c r="M241" s="154"/>
      <c r="N241" s="104"/>
      <c r="O241" s="104"/>
      <c r="P241" s="155"/>
      <c r="Q241" s="104"/>
      <c r="R241" s="155"/>
      <c r="S241" s="34"/>
      <c r="T241" s="156"/>
      <c r="U241" s="156"/>
      <c r="V241" s="34"/>
      <c r="W241" s="103"/>
      <c r="X241" s="82"/>
      <c r="Y241" s="34"/>
      <c r="Z241" s="34"/>
      <c r="AA241" s="75"/>
      <c r="AB241" s="76"/>
      <c r="AC241" s="76"/>
      <c r="AD241" s="34"/>
    </row>
    <row r="242" ht="15.75" customHeight="1">
      <c r="A242" s="34"/>
      <c r="B242" s="152"/>
      <c r="C242" s="152"/>
      <c r="D242" s="152"/>
      <c r="E242" s="153"/>
      <c r="F242" s="34"/>
      <c r="G242" s="152"/>
      <c r="H242" s="152"/>
      <c r="I242" s="152"/>
      <c r="J242" s="152"/>
      <c r="K242" s="152"/>
      <c r="L242" s="154"/>
      <c r="M242" s="154"/>
      <c r="N242" s="104"/>
      <c r="O242" s="104"/>
      <c r="P242" s="155"/>
      <c r="Q242" s="104"/>
      <c r="R242" s="155"/>
      <c r="S242" s="34"/>
      <c r="T242" s="156"/>
      <c r="U242" s="156"/>
      <c r="V242" s="34"/>
      <c r="W242" s="103"/>
      <c r="X242" s="82"/>
      <c r="Y242" s="34"/>
      <c r="Z242" s="34"/>
      <c r="AA242" s="75"/>
      <c r="AB242" s="76"/>
      <c r="AC242" s="76"/>
      <c r="AD242" s="34"/>
    </row>
    <row r="243" ht="15.75" customHeight="1">
      <c r="A243" s="34"/>
      <c r="B243" s="152"/>
      <c r="C243" s="152"/>
      <c r="D243" s="152"/>
      <c r="E243" s="153"/>
      <c r="F243" s="34"/>
      <c r="G243" s="152"/>
      <c r="H243" s="152"/>
      <c r="I243" s="152"/>
      <c r="J243" s="152"/>
      <c r="K243" s="152"/>
      <c r="L243" s="154"/>
      <c r="M243" s="154"/>
      <c r="N243" s="104"/>
      <c r="O243" s="104"/>
      <c r="P243" s="155"/>
      <c r="Q243" s="104"/>
      <c r="R243" s="155"/>
      <c r="S243" s="34"/>
      <c r="T243" s="156"/>
      <c r="U243" s="156"/>
      <c r="V243" s="34"/>
      <c r="W243" s="103"/>
      <c r="X243" s="82"/>
      <c r="Y243" s="34"/>
      <c r="Z243" s="34"/>
      <c r="AA243" s="75"/>
      <c r="AB243" s="76"/>
      <c r="AC243" s="76"/>
      <c r="AD243" s="34"/>
    </row>
    <row r="244" ht="15.75" customHeight="1">
      <c r="A244" s="34"/>
      <c r="B244" s="152"/>
      <c r="C244" s="152"/>
      <c r="D244" s="152"/>
      <c r="E244" s="153"/>
      <c r="F244" s="34"/>
      <c r="G244" s="152"/>
      <c r="H244" s="152"/>
      <c r="I244" s="152"/>
      <c r="J244" s="152"/>
      <c r="K244" s="152"/>
      <c r="L244" s="154"/>
      <c r="M244" s="154"/>
      <c r="N244" s="104"/>
      <c r="O244" s="104"/>
      <c r="P244" s="155"/>
      <c r="Q244" s="104"/>
      <c r="R244" s="155"/>
      <c r="S244" s="34"/>
      <c r="T244" s="156"/>
      <c r="U244" s="156"/>
      <c r="V244" s="34"/>
      <c r="W244" s="103"/>
      <c r="X244" s="82"/>
      <c r="Y244" s="34"/>
      <c r="Z244" s="34"/>
      <c r="AA244" s="75"/>
      <c r="AB244" s="76"/>
      <c r="AC244" s="76"/>
      <c r="AD244" s="34"/>
    </row>
    <row r="245" ht="15.75" customHeight="1">
      <c r="A245" s="34"/>
      <c r="B245" s="152"/>
      <c r="C245" s="152"/>
      <c r="D245" s="152"/>
      <c r="E245" s="153"/>
      <c r="F245" s="34"/>
      <c r="G245" s="152"/>
      <c r="H245" s="152"/>
      <c r="I245" s="152"/>
      <c r="J245" s="152"/>
      <c r="K245" s="152"/>
      <c r="L245" s="154"/>
      <c r="M245" s="154"/>
      <c r="N245" s="104"/>
      <c r="O245" s="104"/>
      <c r="P245" s="155"/>
      <c r="Q245" s="104"/>
      <c r="R245" s="155"/>
      <c r="S245" s="34"/>
      <c r="T245" s="156"/>
      <c r="U245" s="156"/>
      <c r="V245" s="34"/>
      <c r="W245" s="103"/>
      <c r="X245" s="82"/>
      <c r="Y245" s="34"/>
      <c r="Z245" s="34"/>
      <c r="AA245" s="75"/>
      <c r="AB245" s="76"/>
      <c r="AC245" s="76"/>
      <c r="AD245" s="34"/>
    </row>
    <row r="246" ht="15.75" customHeight="1">
      <c r="A246" s="34"/>
      <c r="B246" s="152"/>
      <c r="C246" s="152"/>
      <c r="D246" s="152"/>
      <c r="E246" s="153"/>
      <c r="F246" s="34"/>
      <c r="G246" s="152"/>
      <c r="H246" s="152"/>
      <c r="I246" s="152"/>
      <c r="J246" s="152"/>
      <c r="K246" s="152"/>
      <c r="L246" s="154"/>
      <c r="M246" s="154"/>
      <c r="N246" s="104"/>
      <c r="O246" s="104"/>
      <c r="P246" s="155"/>
      <c r="Q246" s="104"/>
      <c r="R246" s="155"/>
      <c r="S246" s="34"/>
      <c r="T246" s="156"/>
      <c r="U246" s="156"/>
      <c r="V246" s="34"/>
      <c r="W246" s="103"/>
      <c r="X246" s="82"/>
      <c r="Y246" s="34"/>
      <c r="Z246" s="34"/>
      <c r="AA246" s="75"/>
      <c r="AB246" s="76"/>
      <c r="AC246" s="76"/>
      <c r="AD246" s="34"/>
    </row>
    <row r="247" ht="15.75" customHeight="1">
      <c r="A247" s="34"/>
      <c r="B247" s="152"/>
      <c r="C247" s="152"/>
      <c r="D247" s="152"/>
      <c r="E247" s="153"/>
      <c r="F247" s="34"/>
      <c r="G247" s="152"/>
      <c r="H247" s="152"/>
      <c r="I247" s="152"/>
      <c r="J247" s="152"/>
      <c r="K247" s="152"/>
      <c r="L247" s="154"/>
      <c r="M247" s="154"/>
      <c r="N247" s="104"/>
      <c r="O247" s="104"/>
      <c r="P247" s="155"/>
      <c r="Q247" s="104"/>
      <c r="R247" s="155"/>
      <c r="S247" s="34"/>
      <c r="T247" s="156"/>
      <c r="U247" s="156"/>
      <c r="V247" s="34"/>
      <c r="W247" s="103"/>
      <c r="X247" s="82"/>
      <c r="Y247" s="34"/>
      <c r="Z247" s="34"/>
      <c r="AA247" s="75"/>
      <c r="AB247" s="76"/>
      <c r="AC247" s="76"/>
      <c r="AD247" s="34"/>
    </row>
    <row r="248" ht="15.75" customHeight="1">
      <c r="A248" s="34"/>
      <c r="B248" s="152"/>
      <c r="C248" s="152"/>
      <c r="D248" s="152"/>
      <c r="E248" s="153"/>
      <c r="F248" s="34"/>
      <c r="G248" s="152"/>
      <c r="H248" s="152"/>
      <c r="I248" s="152"/>
      <c r="J248" s="152"/>
      <c r="K248" s="152"/>
      <c r="L248" s="154"/>
      <c r="M248" s="154"/>
      <c r="N248" s="104"/>
      <c r="O248" s="104"/>
      <c r="P248" s="155"/>
      <c r="Q248" s="104"/>
      <c r="R248" s="155"/>
      <c r="S248" s="34"/>
      <c r="T248" s="156"/>
      <c r="U248" s="156"/>
      <c r="V248" s="34"/>
      <c r="W248" s="103"/>
      <c r="X248" s="82"/>
      <c r="Y248" s="34"/>
      <c r="Z248" s="34"/>
      <c r="AA248" s="75"/>
      <c r="AB248" s="76"/>
      <c r="AC248" s="76"/>
      <c r="AD248" s="34"/>
    </row>
    <row r="249" ht="15.75" customHeight="1">
      <c r="A249" s="34"/>
      <c r="B249" s="152"/>
      <c r="C249" s="152"/>
      <c r="D249" s="152"/>
      <c r="E249" s="153"/>
      <c r="F249" s="34"/>
      <c r="G249" s="152"/>
      <c r="H249" s="152"/>
      <c r="I249" s="152"/>
      <c r="J249" s="152"/>
      <c r="K249" s="152"/>
      <c r="L249" s="154"/>
      <c r="M249" s="154"/>
      <c r="N249" s="104"/>
      <c r="O249" s="104"/>
      <c r="P249" s="155"/>
      <c r="Q249" s="104"/>
      <c r="R249" s="155"/>
      <c r="S249" s="34"/>
      <c r="T249" s="156"/>
      <c r="U249" s="156"/>
      <c r="V249" s="34"/>
      <c r="W249" s="103"/>
      <c r="X249" s="82"/>
      <c r="Y249" s="34"/>
      <c r="AA249" s="75"/>
      <c r="AB249" s="76"/>
      <c r="AC249" s="76"/>
      <c r="AD249" s="34"/>
    </row>
    <row r="250" ht="15.75" customHeight="1">
      <c r="A250" s="34"/>
      <c r="B250" s="152"/>
      <c r="C250" s="152"/>
      <c r="D250" s="152"/>
      <c r="E250" s="153"/>
      <c r="F250" s="34"/>
      <c r="G250" s="152"/>
      <c r="H250" s="152"/>
      <c r="I250" s="152"/>
      <c r="J250" s="152"/>
      <c r="K250" s="152"/>
      <c r="L250" s="154"/>
      <c r="M250" s="154"/>
      <c r="N250" s="104"/>
      <c r="O250" s="104"/>
      <c r="P250" s="155"/>
      <c r="Q250" s="104"/>
      <c r="R250" s="155"/>
      <c r="S250" s="34"/>
      <c r="T250" s="156"/>
      <c r="U250" s="156"/>
      <c r="V250" s="34"/>
      <c r="W250" s="103"/>
      <c r="X250" s="82"/>
      <c r="Y250" s="34"/>
      <c r="Z250" s="34"/>
      <c r="AA250" s="75"/>
      <c r="AB250" s="76"/>
      <c r="AC250" s="76"/>
      <c r="AD250" s="34"/>
    </row>
    <row r="251" ht="15.75" customHeight="1">
      <c r="A251" s="34"/>
      <c r="B251" s="152"/>
      <c r="C251" s="152"/>
      <c r="D251" s="152"/>
      <c r="E251" s="153"/>
      <c r="F251" s="34"/>
      <c r="G251" s="152"/>
      <c r="H251" s="152"/>
      <c r="I251" s="152"/>
      <c r="J251" s="152"/>
      <c r="K251" s="152"/>
      <c r="L251" s="154"/>
      <c r="M251" s="154"/>
      <c r="N251" s="104"/>
      <c r="O251" s="104"/>
      <c r="P251" s="155"/>
      <c r="Q251" s="104"/>
      <c r="R251" s="155"/>
      <c r="S251" s="34"/>
      <c r="T251" s="156"/>
      <c r="U251" s="156"/>
      <c r="V251" s="34"/>
      <c r="W251" s="103"/>
      <c r="X251" s="82"/>
      <c r="Y251" s="34"/>
      <c r="Z251" s="34"/>
      <c r="AA251" s="34"/>
      <c r="AB251" s="104"/>
      <c r="AC251" s="104"/>
      <c r="AD251" s="34"/>
    </row>
    <row r="252" ht="15.75" customHeight="1">
      <c r="A252" s="34"/>
      <c r="B252" s="152"/>
      <c r="C252" s="152"/>
      <c r="D252" s="152"/>
      <c r="E252" s="153"/>
      <c r="F252" s="34"/>
      <c r="G252" s="152"/>
      <c r="H252" s="152"/>
      <c r="I252" s="152"/>
      <c r="J252" s="152"/>
      <c r="K252" s="152"/>
      <c r="L252" s="154"/>
      <c r="M252" s="154"/>
      <c r="N252" s="104"/>
      <c r="O252" s="104"/>
      <c r="P252" s="155"/>
      <c r="Q252" s="104"/>
      <c r="R252" s="155"/>
      <c r="S252" s="34"/>
      <c r="T252" s="156"/>
      <c r="U252" s="156"/>
      <c r="V252" s="34"/>
      <c r="W252" s="103"/>
      <c r="X252" s="82"/>
      <c r="Y252" s="34"/>
      <c r="Z252" s="34"/>
      <c r="AA252" s="34"/>
      <c r="AB252" s="104"/>
      <c r="AC252" s="104"/>
      <c r="AD252" s="34"/>
    </row>
  </sheetData>
  <mergeCells count="9">
    <mergeCell ref="G84:I84"/>
    <mergeCell ref="L84:P84"/>
    <mergeCell ref="A84:D84"/>
    <mergeCell ref="B8:D8"/>
    <mergeCell ref="G8:I8"/>
    <mergeCell ref="G1:I1"/>
    <mergeCell ref="B1:D1"/>
    <mergeCell ref="T84:U84"/>
    <mergeCell ref="A83:D8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1.86"/>
    <col customWidth="1" min="3" max="3" width="14.71"/>
    <col customWidth="1" min="4" max="4" width="13.43"/>
    <col customWidth="1" min="5" max="5" width="13.71"/>
    <col customWidth="1" hidden="1" min="6" max="6" width="14.14"/>
    <col customWidth="1" min="7" max="7" width="12.0"/>
    <col customWidth="1" min="8" max="9" width="9.14"/>
    <col customWidth="1" min="10" max="11" width="8.0"/>
  </cols>
  <sheetData>
    <row r="1" ht="14.25" hidden="1" customHeight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ht="20.25" hidden="1" customHeight="1">
      <c r="A2" s="157"/>
      <c r="B2" s="157"/>
      <c r="C2" s="158" t="s">
        <v>149</v>
      </c>
      <c r="E2" s="157"/>
      <c r="F2" s="157"/>
      <c r="G2" s="157"/>
      <c r="H2" s="157"/>
      <c r="I2" s="157"/>
      <c r="J2" s="157"/>
      <c r="K2" s="157"/>
    </row>
    <row r="3" ht="14.25" hidden="1" customHeigh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</row>
    <row r="4" ht="14.25" hidden="1" customHeight="1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</row>
    <row r="5" ht="15.75" hidden="1" customHeight="1">
      <c r="A5" s="157"/>
      <c r="B5" s="159" t="s">
        <v>150</v>
      </c>
      <c r="C5" s="159"/>
      <c r="D5" s="159"/>
      <c r="E5" s="160"/>
      <c r="F5" s="160"/>
      <c r="G5" s="160"/>
      <c r="H5" s="157"/>
      <c r="I5" s="157"/>
      <c r="J5" s="157"/>
      <c r="K5" s="157"/>
    </row>
    <row r="6" ht="15.75" hidden="1" customHeight="1">
      <c r="A6" s="157"/>
      <c r="B6" s="159" t="s">
        <v>151</v>
      </c>
      <c r="C6" s="159" t="s">
        <v>135</v>
      </c>
      <c r="D6" s="159" t="s">
        <v>136</v>
      </c>
      <c r="E6" s="160"/>
      <c r="F6" s="160"/>
      <c r="G6" s="159" t="s">
        <v>121</v>
      </c>
      <c r="H6" s="157"/>
      <c r="I6" s="157"/>
      <c r="J6" s="157"/>
      <c r="K6" s="157"/>
    </row>
    <row r="7" ht="15.75" hidden="1" customHeight="1">
      <c r="A7" s="157"/>
      <c r="B7" s="159" t="str">
        <f>TRVS!S11</f>
        <v>DD/6124</v>
      </c>
      <c r="C7" s="161" t="str">
        <f>TRVS!T11</f>
        <v>46098.370</v>
      </c>
      <c r="D7" s="161" t="str">
        <f>TRVS!U11</f>
        <v>210744.470</v>
      </c>
      <c r="E7" s="160"/>
      <c r="F7" s="160"/>
      <c r="G7" s="160"/>
      <c r="H7" s="157"/>
      <c r="I7" s="157"/>
      <c r="J7" s="157"/>
      <c r="K7" s="157"/>
    </row>
    <row r="8" ht="15.75" hidden="1" customHeight="1">
      <c r="A8" s="157"/>
      <c r="B8" s="159" t="str">
        <f>TRVS!S12</f>
        <v>CM1</v>
      </c>
      <c r="C8" s="161" t="str">
        <f>TRVS!T12</f>
        <v>45895.954</v>
      </c>
      <c r="D8" s="161" t="str">
        <f>TRVS!U12</f>
        <v>210949.513</v>
      </c>
      <c r="E8" s="157" t="str">
        <f t="shared" ref="E8:E106" si="1">D7*C8</f>
        <v>9672318501</v>
      </c>
      <c r="F8" s="157" t="str">
        <f t="shared" ref="F8:F106" si="2">C7*D8</f>
        <v>9724428702</v>
      </c>
      <c r="G8" s="162" t="str">
        <f t="shared" ref="G8:G106" si="3">SQRT(((C8-C7)^2)+((D8-D7)^2))</f>
        <v>288.12</v>
      </c>
      <c r="H8" s="157"/>
      <c r="I8" s="157"/>
      <c r="J8" s="157"/>
      <c r="K8" s="157"/>
    </row>
    <row r="9" ht="15.75" hidden="1" customHeight="1">
      <c r="A9" s="157"/>
      <c r="B9" s="159" t="str">
        <f>TRVS!S13</f>
        <v>CM2</v>
      </c>
      <c r="C9" s="161" t="str">
        <f>TRVS!T13</f>
        <v>45877.618</v>
      </c>
      <c r="D9" s="161" t="str">
        <f>TRVS!U13</f>
        <v>210925.205</v>
      </c>
      <c r="E9" s="157" t="str">
        <f t="shared" si="1"/>
        <v>9677861175</v>
      </c>
      <c r="F9" s="157" t="str">
        <f t="shared" si="2"/>
        <v>9680613506</v>
      </c>
      <c r="G9" s="162" t="str">
        <f t="shared" si="3"/>
        <v>30.45</v>
      </c>
      <c r="H9" s="157"/>
      <c r="I9" s="157"/>
      <c r="J9" s="157"/>
      <c r="K9" s="157"/>
    </row>
    <row r="10" ht="15.75" hidden="1" customHeight="1">
      <c r="A10" s="157"/>
      <c r="B10" s="159" t="str">
        <f>TRVS!S14</f>
        <v>CM3</v>
      </c>
      <c r="C10" s="161" t="str">
        <f>TRVS!T14</f>
        <v>45870.529</v>
      </c>
      <c r="D10" s="161" t="str">
        <f>TRVS!U14</f>
        <v>210920.108</v>
      </c>
      <c r="E10" s="157" t="str">
        <f t="shared" si="1"/>
        <v>9675250733</v>
      </c>
      <c r="F10" s="157" t="str">
        <f t="shared" si="2"/>
        <v>9676512143</v>
      </c>
      <c r="G10" s="162" t="str">
        <f t="shared" si="3"/>
        <v>8.73</v>
      </c>
      <c r="H10" s="157"/>
      <c r="I10" s="157"/>
      <c r="J10" s="157"/>
      <c r="K10" s="157"/>
    </row>
    <row r="11" ht="15.75" hidden="1" customHeight="1">
      <c r="A11" s="157"/>
      <c r="B11" s="159" t="str">
        <f>TRVS!S15</f>
        <v>CM4</v>
      </c>
      <c r="C11" s="161" t="str">
        <f>TRVS!T15</f>
        <v>45832.709</v>
      </c>
      <c r="D11" s="161" t="str">
        <f>TRVS!U15</f>
        <v>210947.250</v>
      </c>
      <c r="E11" s="157" t="str">
        <f t="shared" si="1"/>
        <v>9667039932</v>
      </c>
      <c r="F11" s="157" t="str">
        <f t="shared" si="2"/>
        <v>9676261949</v>
      </c>
      <c r="G11" s="162" t="str">
        <f t="shared" si="3"/>
        <v>46.55</v>
      </c>
      <c r="H11" s="157"/>
      <c r="I11" s="157"/>
      <c r="J11" s="157"/>
      <c r="K11" s="157"/>
    </row>
    <row r="12" ht="15.75" hidden="1" customHeight="1">
      <c r="A12" s="157"/>
      <c r="B12" s="159" t="str">
        <f>TRVS!S16</f>
        <v>CM5</v>
      </c>
      <c r="C12" s="161" t="str">
        <f>TRVS!T16</f>
        <v>45825.057</v>
      </c>
      <c r="D12" s="161" t="str">
        <f>TRVS!U16</f>
        <v>210953.831</v>
      </c>
      <c r="E12" s="157" t="str">
        <f t="shared" si="1"/>
        <v>9666669755</v>
      </c>
      <c r="F12" s="157" t="str">
        <f t="shared" si="2"/>
        <v>9668585549</v>
      </c>
      <c r="G12" s="162" t="str">
        <f t="shared" si="3"/>
        <v>10.09</v>
      </c>
      <c r="H12" s="157"/>
      <c r="I12" s="157"/>
      <c r="J12" s="157"/>
      <c r="K12" s="157"/>
    </row>
    <row r="13" ht="15.75" hidden="1" customHeight="1">
      <c r="A13" s="157"/>
      <c r="B13" s="159" t="str">
        <f>TRVS!S17</f>
        <v>CM6</v>
      </c>
      <c r="C13" s="161" t="str">
        <f>TRVS!T17</f>
        <v>45815.564</v>
      </c>
      <c r="D13" s="161" t="str">
        <f>TRVS!U17</f>
        <v>210942.528</v>
      </c>
      <c r="E13" s="157" t="str">
        <f t="shared" si="1"/>
        <v>9664968745</v>
      </c>
      <c r="F13" s="157" t="str">
        <f t="shared" si="2"/>
        <v>9666453369</v>
      </c>
      <c r="G13" s="162" t="str">
        <f t="shared" si="3"/>
        <v>14.76</v>
      </c>
      <c r="H13" s="157"/>
      <c r="I13" s="157"/>
      <c r="J13" s="157"/>
      <c r="K13" s="157"/>
    </row>
    <row r="14" ht="15.75" hidden="1" customHeight="1">
      <c r="A14" s="157"/>
      <c r="B14" s="159" t="str">
        <f>TRVS!S18</f>
        <v>CM7</v>
      </c>
      <c r="C14" s="161" t="str">
        <f>TRVS!T18</f>
        <v>45799.001</v>
      </c>
      <c r="D14" s="161" t="str">
        <f>TRVS!U18</f>
        <v>210933.987</v>
      </c>
      <c r="E14" s="157" t="str">
        <f t="shared" si="1"/>
        <v>9660957051</v>
      </c>
      <c r="F14" s="157" t="str">
        <f t="shared" si="2"/>
        <v>9664059581</v>
      </c>
      <c r="G14" s="162" t="str">
        <f t="shared" si="3"/>
        <v>18.64</v>
      </c>
      <c r="H14" s="157"/>
      <c r="I14" s="157"/>
      <c r="J14" s="157"/>
      <c r="K14" s="157"/>
    </row>
    <row r="15" ht="15.75" hidden="1" customHeight="1">
      <c r="A15" s="157"/>
      <c r="B15" s="159" t="str">
        <f>TRVS!S19</f>
        <v>CL1</v>
      </c>
      <c r="C15" s="161" t="str">
        <f>TRVS!T19</f>
        <v>45785.763</v>
      </c>
      <c r="D15" s="161" t="str">
        <f>TRVS!U19</f>
        <v>210921.616</v>
      </c>
      <c r="E15" s="157" t="str">
        <f t="shared" si="1"/>
        <v>9657773537</v>
      </c>
      <c r="F15" s="157" t="str">
        <f t="shared" si="2"/>
        <v>9659999302</v>
      </c>
      <c r="G15" s="162" t="str">
        <f t="shared" si="3"/>
        <v>18.12</v>
      </c>
      <c r="H15" s="157"/>
      <c r="I15" s="157"/>
      <c r="J15" s="157"/>
      <c r="K15" s="157"/>
    </row>
    <row r="16" ht="15.75" hidden="1" customHeight="1">
      <c r="A16" s="157"/>
      <c r="B16" s="159" t="str">
        <f>TRVS!S20</f>
        <v>CM8</v>
      </c>
      <c r="C16" s="161" t="str">
        <f>TRVS!T20</f>
        <v>45790.378</v>
      </c>
      <c r="D16" s="161" t="str">
        <f>TRVS!U20</f>
        <v>210928.682</v>
      </c>
      <c r="E16" s="157" t="str">
        <f t="shared" si="1"/>
        <v>9658180525</v>
      </c>
      <c r="F16" s="157" t="str">
        <f t="shared" si="2"/>
        <v>9657530644</v>
      </c>
      <c r="G16" s="162" t="str">
        <f t="shared" si="3"/>
        <v>8.44</v>
      </c>
      <c r="H16" s="157"/>
      <c r="I16" s="157"/>
      <c r="J16" s="157"/>
      <c r="K16" s="157"/>
    </row>
    <row r="17" ht="15.75" hidden="1" customHeight="1">
      <c r="A17" s="157"/>
      <c r="B17" s="159" t="str">
        <f>TRVS!S21</f>
        <v>CM9</v>
      </c>
      <c r="C17" s="161" t="str">
        <f>TRVS!T21</f>
        <v>45805.107</v>
      </c>
      <c r="D17" s="161" t="str">
        <f>TRVS!U21</f>
        <v>210910.328</v>
      </c>
      <c r="E17" s="157" t="str">
        <f t="shared" si="1"/>
        <v>9661610848</v>
      </c>
      <c r="F17" s="157" t="str">
        <f t="shared" si="2"/>
        <v>9657663643</v>
      </c>
      <c r="G17" s="162" t="str">
        <f t="shared" si="3"/>
        <v>23.53</v>
      </c>
      <c r="H17" s="157"/>
      <c r="I17" s="157"/>
      <c r="J17" s="157"/>
      <c r="K17" s="157"/>
    </row>
    <row r="18" ht="15.75" hidden="1" customHeight="1">
      <c r="A18" s="157"/>
      <c r="B18" s="159" t="str">
        <f>TRVS!S22</f>
        <v>CM10</v>
      </c>
      <c r="C18" s="161" t="str">
        <f>TRVS!T22</f>
        <v>45794.092</v>
      </c>
      <c r="D18" s="161" t="str">
        <f>TRVS!U22</f>
        <v>210899.829</v>
      </c>
      <c r="E18" s="157" t="str">
        <f t="shared" si="1"/>
        <v>9658446964</v>
      </c>
      <c r="F18" s="157" t="str">
        <f t="shared" si="2"/>
        <v>9660289234</v>
      </c>
      <c r="G18" s="162" t="str">
        <f t="shared" si="3"/>
        <v>15.22</v>
      </c>
      <c r="H18" s="157"/>
      <c r="I18" s="157"/>
      <c r="J18" s="157"/>
      <c r="K18" s="157"/>
    </row>
    <row r="19" ht="15.75" hidden="1" customHeight="1">
      <c r="A19" s="157"/>
      <c r="B19" s="159" t="str">
        <f>TRVS!S23</f>
        <v>CM11</v>
      </c>
      <c r="C19" s="161" t="str">
        <f>TRVS!T23</f>
        <v>45788.358</v>
      </c>
      <c r="D19" s="161" t="str">
        <f>TRVS!U23</f>
        <v>210887.158</v>
      </c>
      <c r="E19" s="157" t="str">
        <f t="shared" si="1"/>
        <v>9656756872</v>
      </c>
      <c r="F19" s="157" t="str">
        <f t="shared" si="2"/>
        <v>9657385915</v>
      </c>
      <c r="G19" s="162" t="str">
        <f t="shared" si="3"/>
        <v>13.91</v>
      </c>
      <c r="H19" s="157"/>
      <c r="I19" s="157"/>
      <c r="J19" s="157"/>
      <c r="K19" s="157"/>
    </row>
    <row r="20" ht="15.75" hidden="1" customHeight="1">
      <c r="A20" s="157"/>
      <c r="B20" s="159" t="str">
        <f>TRVS!S24</f>
        <v>CM12</v>
      </c>
      <c r="C20" s="161" t="str">
        <f>TRVS!T24</f>
        <v>45774.262</v>
      </c>
      <c r="D20" s="161" t="str">
        <f>TRVS!U24</f>
        <v>210852.583</v>
      </c>
      <c r="E20" s="157" t="str">
        <f t="shared" si="1"/>
        <v>9653204023</v>
      </c>
      <c r="F20" s="157" t="str">
        <f t="shared" si="2"/>
        <v>9654593556</v>
      </c>
      <c r="G20" s="162" t="str">
        <f t="shared" si="3"/>
        <v>37.34</v>
      </c>
      <c r="H20" s="157"/>
      <c r="I20" s="157"/>
      <c r="J20" s="157"/>
      <c r="K20" s="157"/>
    </row>
    <row r="21" ht="15.75" hidden="1" customHeight="1">
      <c r="A21" s="157"/>
      <c r="B21" s="159" t="str">
        <f>TRVS!S25</f>
        <v>CM13</v>
      </c>
      <c r="C21" s="161" t="str">
        <f>TRVS!T25</f>
        <v>45751.134</v>
      </c>
      <c r="D21" s="161" t="str">
        <f>TRVS!U25</f>
        <v>210806.435</v>
      </c>
      <c r="E21" s="157" t="str">
        <f t="shared" si="1"/>
        <v>9646744779</v>
      </c>
      <c r="F21" s="157" t="str">
        <f t="shared" si="2"/>
        <v>9649508987</v>
      </c>
      <c r="G21" s="162" t="str">
        <f t="shared" si="3"/>
        <v>51.62</v>
      </c>
      <c r="H21" s="157"/>
      <c r="I21" s="157"/>
      <c r="J21" s="157"/>
      <c r="K21" s="157"/>
    </row>
    <row r="22" ht="15.75" hidden="1" customHeight="1">
      <c r="A22" s="157"/>
      <c r="B22" s="159" t="str">
        <f>TRVS!S57</f>
        <v>CM44</v>
      </c>
      <c r="C22" s="161" t="str">
        <f>TRVS!T57</f>
        <v>46109.742</v>
      </c>
      <c r="D22" s="161" t="str">
        <f>TRVS!U57</f>
        <v>210456.958</v>
      </c>
      <c r="E22" s="157" t="str">
        <f t="shared" si="1"/>
        <v>9720230330</v>
      </c>
      <c r="F22" s="157" t="str">
        <f t="shared" si="2"/>
        <v>9628644487</v>
      </c>
      <c r="G22" s="162" t="str">
        <f t="shared" si="3"/>
        <v>500.73</v>
      </c>
      <c r="H22" s="157"/>
      <c r="I22" s="157"/>
      <c r="J22" s="157"/>
      <c r="K22" s="157"/>
    </row>
    <row r="23" ht="15.75" hidden="1" customHeight="1">
      <c r="A23" s="157"/>
      <c r="B23" s="159" t="str">
        <f>TRVS!S58</f>
        <v>CM45</v>
      </c>
      <c r="C23" s="161" t="str">
        <f>TRVS!T58</f>
        <v>46117.554</v>
      </c>
      <c r="D23" s="161" t="str">
        <f>TRVS!U58</f>
        <v>210446.169</v>
      </c>
      <c r="E23" s="157" t="str">
        <f t="shared" si="1"/>
        <v>9705760125</v>
      </c>
      <c r="F23" s="157" t="str">
        <f t="shared" si="2"/>
        <v>9703618557</v>
      </c>
      <c r="G23" s="162" t="str">
        <f t="shared" si="3"/>
        <v>13.32</v>
      </c>
      <c r="H23" s="157"/>
      <c r="I23" s="157"/>
      <c r="J23" s="157"/>
      <c r="K23" s="157"/>
    </row>
    <row r="24" ht="15.75" hidden="1" customHeight="1">
      <c r="A24" s="157"/>
      <c r="B24" s="159" t="str">
        <f>TRVS!S59</f>
        <v>CM46</v>
      </c>
      <c r="C24" s="161" t="str">
        <f>TRVS!T59</f>
        <v>46125.323</v>
      </c>
      <c r="D24" s="161" t="str">
        <f>TRVS!U59</f>
        <v>210437.830</v>
      </c>
      <c r="E24" s="157" t="str">
        <f t="shared" si="1"/>
        <v>9706897519</v>
      </c>
      <c r="F24" s="157" t="str">
        <f t="shared" si="2"/>
        <v>9704877989</v>
      </c>
      <c r="G24" s="162" t="str">
        <f t="shared" si="3"/>
        <v>11.40</v>
      </c>
      <c r="H24" s="157"/>
      <c r="I24" s="157"/>
      <c r="J24" s="157"/>
      <c r="K24" s="157"/>
    </row>
    <row r="25" ht="15.75" hidden="1" customHeight="1">
      <c r="A25" s="157"/>
      <c r="B25" s="159" t="str">
        <f>TRVS!S60</f>
        <v>CM47</v>
      </c>
      <c r="C25" s="161" t="str">
        <f>TRVS!T60</f>
        <v>46133.871</v>
      </c>
      <c r="D25" s="161" t="str">
        <f>TRVS!U60</f>
        <v>210445.914</v>
      </c>
      <c r="E25" s="157" t="str">
        <f t="shared" si="1"/>
        <v>9708311703</v>
      </c>
      <c r="F25" s="157" t="str">
        <f t="shared" si="2"/>
        <v>9706885757</v>
      </c>
      <c r="G25" s="162" t="str">
        <f t="shared" si="3"/>
        <v>11.77</v>
      </c>
      <c r="H25" s="157"/>
      <c r="I25" s="157"/>
      <c r="J25" s="157"/>
      <c r="K25" s="157"/>
    </row>
    <row r="26" ht="15.75" hidden="1" customHeight="1">
      <c r="A26" s="157"/>
      <c r="B26" s="159" t="str">
        <f>TRVS!S61</f>
        <v>CM48</v>
      </c>
      <c r="C26" s="161" t="str">
        <f>TRVS!T61</f>
        <v>46160.376</v>
      </c>
      <c r="D26" s="161" t="str">
        <f>TRVS!U61</f>
        <v>210476.087</v>
      </c>
      <c r="E26" s="157" t="str">
        <f t="shared" si="1"/>
        <v>9714262518</v>
      </c>
      <c r="F26" s="157" t="str">
        <f t="shared" si="2"/>
        <v>9710076646</v>
      </c>
      <c r="G26" s="162" t="str">
        <f t="shared" si="3"/>
        <v>40.16</v>
      </c>
      <c r="H26" s="157"/>
      <c r="I26" s="157"/>
      <c r="J26" s="157"/>
      <c r="K26" s="157"/>
    </row>
    <row r="27" ht="15.75" hidden="1" customHeight="1">
      <c r="A27" s="157"/>
      <c r="B27" s="159" t="str">
        <f>TRVS!S62</f>
        <v>CM49</v>
      </c>
      <c r="C27" s="161" t="str">
        <f>TRVS!T62</f>
        <v>46152.216</v>
      </c>
      <c r="D27" s="161" t="str">
        <f>TRVS!U62</f>
        <v>210479.744</v>
      </c>
      <c r="E27" s="157" t="str">
        <f t="shared" si="1"/>
        <v>9713937830</v>
      </c>
      <c r="F27" s="157" t="str">
        <f t="shared" si="2"/>
        <v>9715824123</v>
      </c>
      <c r="G27" s="162" t="str">
        <f t="shared" si="3"/>
        <v>8.94</v>
      </c>
      <c r="H27" s="157"/>
      <c r="I27" s="157"/>
      <c r="J27" s="157"/>
      <c r="K27" s="157"/>
    </row>
    <row r="28" ht="15.75" hidden="1" customHeight="1">
      <c r="A28" s="157"/>
      <c r="B28" s="159" t="str">
        <f>TRVS!S63</f>
        <v>CM50</v>
      </c>
      <c r="C28" s="161" t="str">
        <f>TRVS!T63</f>
        <v>46135.839</v>
      </c>
      <c r="D28" s="161" t="str">
        <f>TRVS!U63</f>
        <v>210492.333</v>
      </c>
      <c r="E28" s="157" t="str">
        <f t="shared" si="1"/>
        <v>9710659582</v>
      </c>
      <c r="F28" s="157" t="str">
        <f t="shared" si="2"/>
        <v>9714687619</v>
      </c>
      <c r="G28" s="162" t="str">
        <f t="shared" si="3"/>
        <v>20.66</v>
      </c>
      <c r="H28" s="157"/>
      <c r="I28" s="157"/>
      <c r="J28" s="157"/>
      <c r="K28" s="157"/>
    </row>
    <row r="29" ht="15.75" hidden="1" customHeight="1">
      <c r="A29" s="157"/>
      <c r="B29" s="159" t="str">
        <f>TRVS!S64</f>
        <v>CM51</v>
      </c>
      <c r="C29" s="161" t="str">
        <f>TRVS!T64</f>
        <v>46100.916</v>
      </c>
      <c r="D29" s="161" t="str">
        <f>TRVS!U64</f>
        <v>210519.376</v>
      </c>
      <c r="E29" s="157" t="str">
        <f t="shared" si="1"/>
        <v>9703889362</v>
      </c>
      <c r="F29" s="157" t="str">
        <f t="shared" si="2"/>
        <v>9712488038</v>
      </c>
      <c r="G29" s="162" t="str">
        <f t="shared" si="3"/>
        <v>44.17</v>
      </c>
      <c r="H29" s="157"/>
      <c r="I29" s="157"/>
      <c r="J29" s="157"/>
      <c r="K29" s="157"/>
    </row>
    <row r="30" ht="15.75" hidden="1" customHeight="1">
      <c r="A30" s="157"/>
      <c r="B30" s="159" t="str">
        <f>TRVS!S65</f>
        <v>CM52</v>
      </c>
      <c r="C30" s="161" t="str">
        <f>TRVS!T65</f>
        <v>46077.344</v>
      </c>
      <c r="D30" s="161" t="str">
        <f>TRVS!U65</f>
        <v>210537.256</v>
      </c>
      <c r="E30" s="157" t="str">
        <f t="shared" si="1"/>
        <v>9700173707</v>
      </c>
      <c r="F30" s="157" t="str">
        <f t="shared" si="2"/>
        <v>9705960354</v>
      </c>
      <c r="G30" s="162" t="str">
        <f t="shared" si="3"/>
        <v>29.59</v>
      </c>
      <c r="H30" s="157"/>
      <c r="I30" s="157"/>
      <c r="J30" s="157"/>
      <c r="K30" s="157"/>
    </row>
    <row r="31" ht="15.75" hidden="1" customHeight="1">
      <c r="A31" s="157"/>
      <c r="B31" s="159" t="str">
        <f>TRVS!S66</f>
        <v>CM53</v>
      </c>
      <c r="C31" s="161" t="str">
        <f>TRVS!T66</f>
        <v>46080.710</v>
      </c>
      <c r="D31" s="161" t="str">
        <f>TRVS!U66</f>
        <v>210541.656</v>
      </c>
      <c r="E31" s="157" t="str">
        <f t="shared" si="1"/>
        <v>9701706238</v>
      </c>
      <c r="F31" s="157" t="str">
        <f t="shared" si="2"/>
        <v>9701200310</v>
      </c>
      <c r="G31" s="162" t="str">
        <f t="shared" si="3"/>
        <v>5.54</v>
      </c>
      <c r="H31" s="157"/>
      <c r="I31" s="157"/>
      <c r="J31" s="157"/>
      <c r="K31" s="157"/>
    </row>
    <row r="32" ht="15.75" hidden="1" customHeight="1">
      <c r="A32" s="157"/>
      <c r="B32" s="159" t="str">
        <f>TRVS!S67</f>
        <v>CM54</v>
      </c>
      <c r="C32" s="161" t="str">
        <f>TRVS!T67</f>
        <v>46057.810</v>
      </c>
      <c r="D32" s="161" t="str">
        <f>TRVS!U67</f>
        <v>210565.320</v>
      </c>
      <c r="E32" s="157" t="str">
        <f t="shared" si="1"/>
        <v>9697087589</v>
      </c>
      <c r="F32" s="157" t="str">
        <f t="shared" si="2"/>
        <v>9702999447</v>
      </c>
      <c r="G32" s="162" t="str">
        <f t="shared" si="3"/>
        <v>32.93</v>
      </c>
      <c r="H32" s="157"/>
      <c r="I32" s="157"/>
      <c r="J32" s="157"/>
      <c r="K32" s="157"/>
    </row>
    <row r="33" ht="15.75" hidden="1" customHeight="1">
      <c r="A33" s="157"/>
      <c r="B33" s="159" t="str">
        <f>TRVS!#REF!</f>
        <v>#ERROR!</v>
      </c>
      <c r="C33" s="161" t="str">
        <f>TRVS!#REF!</f>
        <v>#ERROR!</v>
      </c>
      <c r="D33" s="161" t="str">
        <f>TRVS!#REF!</f>
        <v>#ERROR!</v>
      </c>
      <c r="E33" s="157" t="str">
        <f t="shared" si="1"/>
        <v>#ERROR!</v>
      </c>
      <c r="F33" s="157" t="str">
        <f t="shared" si="2"/>
        <v>#ERROR!</v>
      </c>
      <c r="G33" s="162" t="str">
        <f t="shared" si="3"/>
        <v>#ERROR!</v>
      </c>
      <c r="H33" s="157"/>
      <c r="I33" s="157"/>
      <c r="J33" s="157"/>
      <c r="K33" s="157"/>
    </row>
    <row r="34" ht="15.75" hidden="1" customHeight="1">
      <c r="A34" s="157"/>
      <c r="B34" s="159" t="str">
        <f>TRVS!S68</f>
        <v>CM55</v>
      </c>
      <c r="C34" s="161" t="str">
        <f>TRVS!T68</f>
        <v>46042.247</v>
      </c>
      <c r="D34" s="161" t="str">
        <f>TRVS!U68</f>
        <v>210565.786</v>
      </c>
      <c r="E34" s="157" t="str">
        <f t="shared" si="1"/>
        <v>#ERROR!</v>
      </c>
      <c r="F34" s="157" t="str">
        <f t="shared" si="2"/>
        <v>#ERROR!</v>
      </c>
      <c r="G34" s="162" t="str">
        <f t="shared" si="3"/>
        <v>#ERROR!</v>
      </c>
      <c r="H34" s="157"/>
      <c r="I34" s="157"/>
      <c r="J34" s="157"/>
      <c r="K34" s="157"/>
    </row>
    <row r="35" ht="15.75" hidden="1" customHeight="1">
      <c r="A35" s="157"/>
      <c r="B35" s="159" t="str">
        <f>TRVS!S69</f>
        <v>CM56</v>
      </c>
      <c r="C35" s="161" t="str">
        <f>TRVS!T69</f>
        <v>45986.987</v>
      </c>
      <c r="D35" s="161" t="str">
        <f>TRVS!U69</f>
        <v>210528.326</v>
      </c>
      <c r="E35" s="157" t="str">
        <f t="shared" si="1"/>
        <v>9683286063</v>
      </c>
      <c r="F35" s="157" t="str">
        <f t="shared" si="2"/>
        <v>9693197186</v>
      </c>
      <c r="G35" s="162" t="str">
        <f t="shared" si="3"/>
        <v>66.76</v>
      </c>
      <c r="H35" s="157"/>
      <c r="I35" s="157"/>
      <c r="J35" s="157"/>
      <c r="K35" s="157"/>
    </row>
    <row r="36" ht="15.75" hidden="1" customHeight="1">
      <c r="A36" s="157"/>
      <c r="B36" s="159" t="str">
        <f>TRVS!S70</f>
        <v>CM57</v>
      </c>
      <c r="C36" s="161" t="str">
        <f>TRVS!T70</f>
        <v>45966.170</v>
      </c>
      <c r="D36" s="161" t="str">
        <f>TRVS!U70</f>
        <v>210555.920</v>
      </c>
      <c r="E36" s="157" t="str">
        <f t="shared" si="1"/>
        <v>9677180823</v>
      </c>
      <c r="F36" s="157" t="str">
        <f t="shared" si="2"/>
        <v>9682832356</v>
      </c>
      <c r="G36" s="162" t="str">
        <f t="shared" si="3"/>
        <v>34.57</v>
      </c>
      <c r="H36" s="157"/>
      <c r="I36" s="157"/>
      <c r="J36" s="157"/>
      <c r="K36" s="157"/>
    </row>
    <row r="37" ht="15.75" hidden="1" customHeight="1">
      <c r="A37" s="157"/>
      <c r="B37" s="159" t="str">
        <f>TRVS!S71</f>
        <v>CM58</v>
      </c>
      <c r="C37" s="161" t="str">
        <f>TRVS!T71</f>
        <v>45953.321</v>
      </c>
      <c r="D37" s="161" t="str">
        <f>TRVS!U71</f>
        <v>210580.352</v>
      </c>
      <c r="E37" s="157" t="str">
        <f t="shared" si="1"/>
        <v>9675743780</v>
      </c>
      <c r="F37" s="157" t="str">
        <f t="shared" si="2"/>
        <v>9679572259</v>
      </c>
      <c r="G37" s="162" t="str">
        <f t="shared" si="3"/>
        <v>27.60</v>
      </c>
      <c r="H37" s="157"/>
      <c r="I37" s="157"/>
      <c r="J37" s="157"/>
      <c r="K37" s="157"/>
    </row>
    <row r="38" ht="15.75" hidden="1" customHeight="1">
      <c r="A38" s="157"/>
      <c r="B38" s="159" t="str">
        <f>TRVS!S72</f>
        <v>CM59</v>
      </c>
      <c r="C38" s="161" t="str">
        <f>TRVS!T72</f>
        <v>46007.415</v>
      </c>
      <c r="D38" s="161" t="str">
        <f>TRVS!U72</f>
        <v>210639.457</v>
      </c>
      <c r="E38" s="157" t="str">
        <f t="shared" si="1"/>
        <v>9688257645</v>
      </c>
      <c r="F38" s="157" t="str">
        <f t="shared" si="2"/>
        <v>9679582583</v>
      </c>
      <c r="G38" s="162" t="str">
        <f t="shared" si="3"/>
        <v>80.12</v>
      </c>
      <c r="H38" s="157"/>
      <c r="I38" s="157"/>
      <c r="J38" s="157"/>
      <c r="K38" s="157"/>
    </row>
    <row r="39" ht="15.75" hidden="1" customHeight="1">
      <c r="A39" s="157"/>
      <c r="B39" s="159" t="str">
        <f>TRVS!S73</f>
        <v>CM60</v>
      </c>
      <c r="C39" s="161" t="str">
        <f>TRVS!T73</f>
        <v>46084.884</v>
      </c>
      <c r="D39" s="161" t="str">
        <f>TRVS!U73</f>
        <v>210729.415</v>
      </c>
      <c r="E39" s="157" t="str">
        <f t="shared" si="1"/>
        <v>9707294942</v>
      </c>
      <c r="F39" s="157" t="str">
        <f t="shared" si="2"/>
        <v>9695115649</v>
      </c>
      <c r="G39" s="162" t="str">
        <f t="shared" si="3"/>
        <v>118.72</v>
      </c>
      <c r="H39" s="157"/>
      <c r="I39" s="157"/>
      <c r="J39" s="157"/>
      <c r="K39" s="157"/>
    </row>
    <row r="40" ht="15.75" hidden="1" customHeight="1">
      <c r="A40" s="157"/>
      <c r="B40" s="159" t="str">
        <f>TRVS!S74</f>
        <v>CM61</v>
      </c>
      <c r="C40" s="161" t="str">
        <f>TRVS!T74</f>
        <v>46123.233</v>
      </c>
      <c r="D40" s="161" t="str">
        <f>TRVS!U74</f>
        <v>210778.556</v>
      </c>
      <c r="E40" s="157" t="str">
        <f t="shared" si="1"/>
        <v>9719521908</v>
      </c>
      <c r="F40" s="157" t="str">
        <f t="shared" si="2"/>
        <v>9713705303</v>
      </c>
      <c r="G40" s="162" t="str">
        <f t="shared" si="3"/>
        <v>62.33</v>
      </c>
      <c r="H40" s="157"/>
      <c r="I40" s="157"/>
      <c r="J40" s="157"/>
      <c r="K40" s="157"/>
    </row>
    <row r="41" ht="15.75" hidden="1" customHeight="1">
      <c r="A41" s="157"/>
      <c r="B41" s="159" t="str">
        <f>TRVS!S75</f>
        <v>CM62</v>
      </c>
      <c r="C41" s="161" t="str">
        <f>TRVS!T75</f>
        <v>46145.107</v>
      </c>
      <c r="D41" s="161" t="str">
        <f>TRVS!U75</f>
        <v>210812.512</v>
      </c>
      <c r="E41" s="157" t="str">
        <f t="shared" si="1"/>
        <v>9726399020</v>
      </c>
      <c r="F41" s="157" t="str">
        <f t="shared" si="2"/>
        <v>9723354610</v>
      </c>
      <c r="G41" s="162" t="str">
        <f t="shared" si="3"/>
        <v>40.39</v>
      </c>
      <c r="H41" s="157"/>
      <c r="I41" s="157"/>
      <c r="J41" s="157"/>
      <c r="K41" s="157"/>
    </row>
    <row r="42" ht="15.75" hidden="1" customHeight="1">
      <c r="A42" s="157"/>
      <c r="B42" s="159" t="str">
        <f>TRVS!#REF!</f>
        <v>#ERROR!</v>
      </c>
      <c r="C42" s="161" t="str">
        <f>TRVS!#REF!</f>
        <v>#ERROR!</v>
      </c>
      <c r="D42" s="161" t="str">
        <f>TRVS!#REF!</f>
        <v>#ERROR!</v>
      </c>
      <c r="E42" s="157" t="str">
        <f t="shared" si="1"/>
        <v>#ERROR!</v>
      </c>
      <c r="F42" s="157" t="str">
        <f t="shared" si="2"/>
        <v>#ERROR!</v>
      </c>
      <c r="G42" s="162" t="str">
        <f t="shared" si="3"/>
        <v>#ERROR!</v>
      </c>
      <c r="H42" s="157"/>
      <c r="I42" s="157"/>
      <c r="J42" s="157"/>
      <c r="K42" s="157"/>
    </row>
    <row r="43" ht="15.75" hidden="1" customHeight="1">
      <c r="A43" s="157"/>
      <c r="B43" s="159" t="str">
        <f>TRVS!#REF!</f>
        <v>#ERROR!</v>
      </c>
      <c r="C43" s="161" t="str">
        <f>TRVS!#REF!</f>
        <v>#ERROR!</v>
      </c>
      <c r="D43" s="161" t="str">
        <f>TRVS!#REF!</f>
        <v>#ERROR!</v>
      </c>
      <c r="E43" s="157" t="str">
        <f t="shared" si="1"/>
        <v>#ERROR!</v>
      </c>
      <c r="F43" s="157" t="str">
        <f t="shared" si="2"/>
        <v>#ERROR!</v>
      </c>
      <c r="G43" s="162" t="str">
        <f t="shared" si="3"/>
        <v>#ERROR!</v>
      </c>
      <c r="H43" s="157"/>
      <c r="I43" s="157"/>
      <c r="J43" s="157"/>
      <c r="K43" s="157"/>
    </row>
    <row r="44" ht="15.75" hidden="1" customHeight="1">
      <c r="A44" s="157"/>
      <c r="B44" s="159" t="str">
        <f>TRVS!#REF!</f>
        <v>#ERROR!</v>
      </c>
      <c r="C44" s="161" t="str">
        <f>TRVS!#REF!</f>
        <v>#ERROR!</v>
      </c>
      <c r="D44" s="161" t="str">
        <f>TRVS!#REF!</f>
        <v>#ERROR!</v>
      </c>
      <c r="E44" s="157" t="str">
        <f t="shared" si="1"/>
        <v>#ERROR!</v>
      </c>
      <c r="F44" s="157" t="str">
        <f t="shared" si="2"/>
        <v>#ERROR!</v>
      </c>
      <c r="G44" s="162" t="str">
        <f t="shared" si="3"/>
        <v>#ERROR!</v>
      </c>
      <c r="H44" s="157"/>
      <c r="I44" s="157"/>
      <c r="J44" s="157"/>
      <c r="K44" s="157"/>
    </row>
    <row r="45" ht="15.75" hidden="1" customHeight="1">
      <c r="A45" s="157"/>
      <c r="B45" s="159" t="str">
        <f>TRVS!#REF!</f>
        <v>#ERROR!</v>
      </c>
      <c r="C45" s="161" t="str">
        <f>TRVS!#REF!</f>
        <v>#ERROR!</v>
      </c>
      <c r="D45" s="161" t="str">
        <f>TRVS!#REF!</f>
        <v>#ERROR!</v>
      </c>
      <c r="E45" s="157" t="str">
        <f t="shared" si="1"/>
        <v>#ERROR!</v>
      </c>
      <c r="F45" s="157" t="str">
        <f t="shared" si="2"/>
        <v>#ERROR!</v>
      </c>
      <c r="G45" s="162" t="str">
        <f t="shared" si="3"/>
        <v>#ERROR!</v>
      </c>
      <c r="H45" s="157"/>
      <c r="I45" s="157"/>
      <c r="J45" s="157"/>
      <c r="K45" s="157"/>
    </row>
    <row r="46" ht="15.75" hidden="1" customHeight="1">
      <c r="A46" s="157"/>
      <c r="B46" s="159" t="str">
        <f>TRVS!#REF!</f>
        <v>#ERROR!</v>
      </c>
      <c r="C46" s="161" t="str">
        <f>TRVS!#REF!</f>
        <v>#ERROR!</v>
      </c>
      <c r="D46" s="161" t="str">
        <f>TRVS!#REF!</f>
        <v>#ERROR!</v>
      </c>
      <c r="E46" s="157" t="str">
        <f t="shared" si="1"/>
        <v>#ERROR!</v>
      </c>
      <c r="F46" s="157" t="str">
        <f t="shared" si="2"/>
        <v>#ERROR!</v>
      </c>
      <c r="G46" s="162" t="str">
        <f t="shared" si="3"/>
        <v>#ERROR!</v>
      </c>
      <c r="H46" s="157"/>
      <c r="I46" s="157"/>
      <c r="J46" s="157"/>
      <c r="K46" s="157"/>
    </row>
    <row r="47" ht="15.75" hidden="1" customHeight="1">
      <c r="A47" s="157"/>
      <c r="B47" s="159" t="str">
        <f>TRVS!#REF!</f>
        <v>#ERROR!</v>
      </c>
      <c r="C47" s="161" t="str">
        <f>TRVS!#REF!</f>
        <v>#ERROR!</v>
      </c>
      <c r="D47" s="161" t="str">
        <f>TRVS!#REF!</f>
        <v>#ERROR!</v>
      </c>
      <c r="E47" s="157" t="str">
        <f t="shared" si="1"/>
        <v>#ERROR!</v>
      </c>
      <c r="F47" s="157" t="str">
        <f t="shared" si="2"/>
        <v>#ERROR!</v>
      </c>
      <c r="G47" s="162" t="str">
        <f t="shared" si="3"/>
        <v>#ERROR!</v>
      </c>
      <c r="H47" s="157"/>
      <c r="I47" s="157"/>
      <c r="J47" s="157"/>
      <c r="K47" s="157"/>
    </row>
    <row r="48" ht="15.75" hidden="1" customHeight="1">
      <c r="A48" s="157"/>
      <c r="B48" s="159" t="str">
        <f>TRVS!#REF!</f>
        <v>#ERROR!</v>
      </c>
      <c r="C48" s="161" t="str">
        <f>TRVS!#REF!</f>
        <v>#ERROR!</v>
      </c>
      <c r="D48" s="161" t="str">
        <f>TRVS!#REF!</f>
        <v>#ERROR!</v>
      </c>
      <c r="E48" s="157" t="str">
        <f t="shared" si="1"/>
        <v>#ERROR!</v>
      </c>
      <c r="F48" s="157" t="str">
        <f t="shared" si="2"/>
        <v>#ERROR!</v>
      </c>
      <c r="G48" s="162" t="str">
        <f t="shared" si="3"/>
        <v>#ERROR!</v>
      </c>
      <c r="H48" s="157"/>
      <c r="I48" s="157"/>
      <c r="J48" s="157"/>
      <c r="K48" s="157"/>
    </row>
    <row r="49" ht="15.75" hidden="1" customHeight="1">
      <c r="A49" s="157"/>
      <c r="B49" s="159" t="str">
        <f>TRVS!#REF!</f>
        <v>#ERROR!</v>
      </c>
      <c r="C49" s="161" t="str">
        <f>TRVS!#REF!</f>
        <v>#ERROR!</v>
      </c>
      <c r="D49" s="161" t="str">
        <f>TRVS!#REF!</f>
        <v>#ERROR!</v>
      </c>
      <c r="E49" s="157" t="str">
        <f t="shared" si="1"/>
        <v>#ERROR!</v>
      </c>
      <c r="F49" s="157" t="str">
        <f t="shared" si="2"/>
        <v>#ERROR!</v>
      </c>
      <c r="G49" s="162" t="str">
        <f t="shared" si="3"/>
        <v>#ERROR!</v>
      </c>
      <c r="H49" s="157"/>
      <c r="I49" s="157"/>
      <c r="J49" s="157"/>
      <c r="K49" s="157"/>
    </row>
    <row r="50" ht="15.75" hidden="1" customHeight="1">
      <c r="A50" s="157"/>
      <c r="B50" s="159" t="str">
        <f>TRVS!#REF!</f>
        <v>#ERROR!</v>
      </c>
      <c r="C50" s="161" t="str">
        <f>TRVS!#REF!</f>
        <v>#ERROR!</v>
      </c>
      <c r="D50" s="161" t="str">
        <f>TRVS!#REF!</f>
        <v>#ERROR!</v>
      </c>
      <c r="E50" s="157" t="str">
        <f t="shared" si="1"/>
        <v>#ERROR!</v>
      </c>
      <c r="F50" s="157" t="str">
        <f t="shared" si="2"/>
        <v>#ERROR!</v>
      </c>
      <c r="G50" s="162" t="str">
        <f t="shared" si="3"/>
        <v>#ERROR!</v>
      </c>
      <c r="H50" s="157"/>
      <c r="I50" s="157"/>
      <c r="J50" s="157"/>
      <c r="K50" s="157"/>
    </row>
    <row r="51" ht="15.75" hidden="1" customHeight="1">
      <c r="A51" s="157"/>
      <c r="B51" s="159" t="str">
        <f>TRVS!#REF!</f>
        <v>#ERROR!</v>
      </c>
      <c r="C51" s="161" t="str">
        <f>TRVS!#REF!</f>
        <v>#ERROR!</v>
      </c>
      <c r="D51" s="161" t="str">
        <f>TRVS!#REF!</f>
        <v>#ERROR!</v>
      </c>
      <c r="E51" s="157" t="str">
        <f t="shared" si="1"/>
        <v>#ERROR!</v>
      </c>
      <c r="F51" s="157" t="str">
        <f t="shared" si="2"/>
        <v>#ERROR!</v>
      </c>
      <c r="G51" s="162" t="str">
        <f t="shared" si="3"/>
        <v>#ERROR!</v>
      </c>
      <c r="H51" s="157"/>
      <c r="I51" s="157"/>
      <c r="J51" s="157"/>
      <c r="K51" s="157"/>
    </row>
    <row r="52" ht="15.75" hidden="1" customHeight="1">
      <c r="A52" s="157"/>
      <c r="B52" s="159" t="str">
        <f>TRVS!#REF!</f>
        <v>#ERROR!</v>
      </c>
      <c r="C52" s="161" t="str">
        <f>TRVS!#REF!</f>
        <v>#ERROR!</v>
      </c>
      <c r="D52" s="161" t="str">
        <f>TRVS!#REF!</f>
        <v>#ERROR!</v>
      </c>
      <c r="E52" s="157" t="str">
        <f t="shared" si="1"/>
        <v>#ERROR!</v>
      </c>
      <c r="F52" s="157" t="str">
        <f t="shared" si="2"/>
        <v>#ERROR!</v>
      </c>
      <c r="G52" s="162" t="str">
        <f t="shared" si="3"/>
        <v>#ERROR!</v>
      </c>
      <c r="H52" s="157"/>
      <c r="I52" s="157"/>
      <c r="J52" s="157"/>
      <c r="K52" s="157"/>
    </row>
    <row r="53" ht="15.75" hidden="1" customHeight="1">
      <c r="A53" s="157"/>
      <c r="B53" s="159" t="str">
        <f>TRVS!#REF!</f>
        <v>#ERROR!</v>
      </c>
      <c r="C53" s="161" t="str">
        <f>TRVS!#REF!</f>
        <v>#ERROR!</v>
      </c>
      <c r="D53" s="161" t="str">
        <f>TRVS!#REF!</f>
        <v>#ERROR!</v>
      </c>
      <c r="E53" s="157" t="str">
        <f t="shared" si="1"/>
        <v>#ERROR!</v>
      </c>
      <c r="F53" s="157" t="str">
        <f t="shared" si="2"/>
        <v>#ERROR!</v>
      </c>
      <c r="G53" s="162" t="str">
        <f t="shared" si="3"/>
        <v>#ERROR!</v>
      </c>
      <c r="H53" s="157"/>
      <c r="I53" s="157"/>
      <c r="J53" s="157"/>
      <c r="K53" s="157"/>
    </row>
    <row r="54" ht="15.75" hidden="1" customHeight="1">
      <c r="A54" s="157"/>
      <c r="B54" s="159" t="str">
        <f>TRVS!#REF!</f>
        <v>#ERROR!</v>
      </c>
      <c r="C54" s="161" t="str">
        <f>TRVS!#REF!</f>
        <v>#ERROR!</v>
      </c>
      <c r="D54" s="161" t="str">
        <f>TRVS!#REF!</f>
        <v>#ERROR!</v>
      </c>
      <c r="E54" s="157" t="str">
        <f t="shared" si="1"/>
        <v>#ERROR!</v>
      </c>
      <c r="F54" s="157" t="str">
        <f t="shared" si="2"/>
        <v>#ERROR!</v>
      </c>
      <c r="G54" s="162" t="str">
        <f t="shared" si="3"/>
        <v>#ERROR!</v>
      </c>
      <c r="H54" s="157"/>
      <c r="I54" s="157"/>
      <c r="J54" s="157"/>
      <c r="K54" s="157"/>
    </row>
    <row r="55" ht="15.75" hidden="1" customHeight="1">
      <c r="A55" s="157"/>
      <c r="B55" s="159" t="str">
        <f>TRVS!#REF!</f>
        <v>#ERROR!</v>
      </c>
      <c r="C55" s="161" t="str">
        <f>TRVS!#REF!</f>
        <v>#ERROR!</v>
      </c>
      <c r="D55" s="161" t="str">
        <f>TRVS!#REF!</f>
        <v>#ERROR!</v>
      </c>
      <c r="E55" s="157" t="str">
        <f t="shared" si="1"/>
        <v>#ERROR!</v>
      </c>
      <c r="F55" s="157" t="str">
        <f t="shared" si="2"/>
        <v>#ERROR!</v>
      </c>
      <c r="G55" s="162" t="str">
        <f t="shared" si="3"/>
        <v>#ERROR!</v>
      </c>
      <c r="H55" s="157"/>
      <c r="I55" s="157"/>
      <c r="J55" s="157"/>
      <c r="K55" s="157"/>
    </row>
    <row r="56" ht="15.75" hidden="1" customHeight="1">
      <c r="A56" s="157"/>
      <c r="B56" s="159" t="str">
        <f>TRVS!#REF!</f>
        <v>#ERROR!</v>
      </c>
      <c r="C56" s="161" t="str">
        <f>TRVS!#REF!</f>
        <v>#ERROR!</v>
      </c>
      <c r="D56" s="161" t="str">
        <f>TRVS!#REF!</f>
        <v>#ERROR!</v>
      </c>
      <c r="E56" s="157" t="str">
        <f t="shared" si="1"/>
        <v>#ERROR!</v>
      </c>
      <c r="F56" s="157" t="str">
        <f t="shared" si="2"/>
        <v>#ERROR!</v>
      </c>
      <c r="G56" s="162" t="str">
        <f t="shared" si="3"/>
        <v>#ERROR!</v>
      </c>
      <c r="H56" s="157"/>
      <c r="I56" s="157"/>
      <c r="J56" s="157"/>
      <c r="K56" s="157"/>
    </row>
    <row r="57" ht="15.75" hidden="1" customHeight="1">
      <c r="A57" s="157"/>
      <c r="B57" s="159" t="str">
        <f>TRVS!#REF!</f>
        <v>#ERROR!</v>
      </c>
      <c r="C57" s="161" t="str">
        <f>TRVS!#REF!</f>
        <v>#ERROR!</v>
      </c>
      <c r="D57" s="161" t="str">
        <f>TRVS!#REF!</f>
        <v>#ERROR!</v>
      </c>
      <c r="E57" s="157" t="str">
        <f t="shared" si="1"/>
        <v>#ERROR!</v>
      </c>
      <c r="F57" s="157" t="str">
        <f t="shared" si="2"/>
        <v>#ERROR!</v>
      </c>
      <c r="G57" s="162" t="str">
        <f t="shared" si="3"/>
        <v>#ERROR!</v>
      </c>
      <c r="H57" s="157"/>
      <c r="I57" s="157"/>
      <c r="J57" s="157"/>
      <c r="K57" s="157"/>
    </row>
    <row r="58" ht="15.75" hidden="1" customHeight="1">
      <c r="A58" s="157"/>
      <c r="B58" s="159" t="str">
        <f>TRVS!#REF!</f>
        <v>#ERROR!</v>
      </c>
      <c r="C58" s="161" t="str">
        <f>TRVS!#REF!</f>
        <v>#ERROR!</v>
      </c>
      <c r="D58" s="161" t="str">
        <f>TRVS!#REF!</f>
        <v>#ERROR!</v>
      </c>
      <c r="E58" s="157" t="str">
        <f t="shared" si="1"/>
        <v>#ERROR!</v>
      </c>
      <c r="F58" s="157" t="str">
        <f t="shared" si="2"/>
        <v>#ERROR!</v>
      </c>
      <c r="G58" s="162" t="str">
        <f t="shared" si="3"/>
        <v>#ERROR!</v>
      </c>
      <c r="H58" s="157"/>
      <c r="I58" s="157"/>
      <c r="J58" s="157"/>
      <c r="K58" s="157"/>
    </row>
    <row r="59" ht="15.75" hidden="1" customHeight="1">
      <c r="A59" s="157"/>
      <c r="B59" s="159" t="str">
        <f>TRVS!#REF!</f>
        <v>#ERROR!</v>
      </c>
      <c r="C59" s="161" t="str">
        <f>TRVS!#REF!</f>
        <v>#ERROR!</v>
      </c>
      <c r="D59" s="161" t="str">
        <f>TRVS!#REF!</f>
        <v>#ERROR!</v>
      </c>
      <c r="E59" s="157" t="str">
        <f t="shared" si="1"/>
        <v>#ERROR!</v>
      </c>
      <c r="F59" s="157" t="str">
        <f t="shared" si="2"/>
        <v>#ERROR!</v>
      </c>
      <c r="G59" s="162" t="str">
        <f t="shared" si="3"/>
        <v>#ERROR!</v>
      </c>
      <c r="H59" s="157"/>
      <c r="I59" s="157"/>
      <c r="J59" s="157"/>
      <c r="K59" s="157"/>
    </row>
    <row r="60" ht="15.75" hidden="1" customHeight="1">
      <c r="A60" s="157"/>
      <c r="B60" s="159" t="str">
        <f>TRVS!#REF!</f>
        <v>#ERROR!</v>
      </c>
      <c r="C60" s="161" t="str">
        <f>TRVS!#REF!</f>
        <v>#ERROR!</v>
      </c>
      <c r="D60" s="161" t="str">
        <f>TRVS!#REF!</f>
        <v>#ERROR!</v>
      </c>
      <c r="E60" s="157" t="str">
        <f t="shared" si="1"/>
        <v>#ERROR!</v>
      </c>
      <c r="F60" s="157" t="str">
        <f t="shared" si="2"/>
        <v>#ERROR!</v>
      </c>
      <c r="G60" s="162" t="str">
        <f t="shared" si="3"/>
        <v>#ERROR!</v>
      </c>
      <c r="H60" s="157"/>
      <c r="I60" s="157"/>
      <c r="J60" s="157"/>
      <c r="K60" s="157"/>
    </row>
    <row r="61" ht="15.75" hidden="1" customHeight="1">
      <c r="A61" s="157"/>
      <c r="B61" s="159" t="str">
        <f>TRVS!#REF!</f>
        <v>#ERROR!</v>
      </c>
      <c r="C61" s="161" t="str">
        <f>TRVS!#REF!</f>
        <v>#ERROR!</v>
      </c>
      <c r="D61" s="161" t="str">
        <f>TRVS!#REF!</f>
        <v>#ERROR!</v>
      </c>
      <c r="E61" s="157" t="str">
        <f t="shared" si="1"/>
        <v>#ERROR!</v>
      </c>
      <c r="F61" s="157" t="str">
        <f t="shared" si="2"/>
        <v>#ERROR!</v>
      </c>
      <c r="G61" s="162" t="str">
        <f t="shared" si="3"/>
        <v>#ERROR!</v>
      </c>
      <c r="H61" s="157"/>
      <c r="I61" s="157"/>
      <c r="J61" s="157"/>
      <c r="K61" s="157"/>
    </row>
    <row r="62" ht="15.75" hidden="1" customHeight="1">
      <c r="A62" s="157"/>
      <c r="B62" s="159" t="str">
        <f>TRVS!#REF!</f>
        <v>#ERROR!</v>
      </c>
      <c r="C62" s="161" t="str">
        <f>TRVS!#REF!</f>
        <v>#ERROR!</v>
      </c>
      <c r="D62" s="161" t="str">
        <f>TRVS!#REF!</f>
        <v>#ERROR!</v>
      </c>
      <c r="E62" s="157" t="str">
        <f t="shared" si="1"/>
        <v>#ERROR!</v>
      </c>
      <c r="F62" s="157" t="str">
        <f t="shared" si="2"/>
        <v>#ERROR!</v>
      </c>
      <c r="G62" s="162" t="str">
        <f t="shared" si="3"/>
        <v>#ERROR!</v>
      </c>
      <c r="H62" s="157"/>
      <c r="I62" s="157"/>
      <c r="J62" s="157"/>
      <c r="K62" s="157"/>
    </row>
    <row r="63" ht="15.75" hidden="1" customHeight="1">
      <c r="A63" s="157"/>
      <c r="B63" s="159" t="str">
        <f>TRVS!#REF!</f>
        <v>#ERROR!</v>
      </c>
      <c r="C63" s="161" t="str">
        <f>TRVS!#REF!</f>
        <v>#ERROR!</v>
      </c>
      <c r="D63" s="161" t="str">
        <f>TRVS!#REF!</f>
        <v>#ERROR!</v>
      </c>
      <c r="E63" s="157" t="str">
        <f t="shared" si="1"/>
        <v>#ERROR!</v>
      </c>
      <c r="F63" s="157" t="str">
        <f t="shared" si="2"/>
        <v>#ERROR!</v>
      </c>
      <c r="G63" s="162" t="str">
        <f t="shared" si="3"/>
        <v>#ERROR!</v>
      </c>
      <c r="H63" s="157"/>
      <c r="I63" s="157"/>
      <c r="J63" s="157"/>
      <c r="K63" s="157"/>
    </row>
    <row r="64" ht="15.75" hidden="1" customHeight="1">
      <c r="A64" s="157"/>
      <c r="B64" s="159" t="str">
        <f>TRVS!#REF!</f>
        <v>#ERROR!</v>
      </c>
      <c r="C64" s="161" t="str">
        <f>TRVS!#REF!</f>
        <v>#ERROR!</v>
      </c>
      <c r="D64" s="161" t="str">
        <f>TRVS!#REF!</f>
        <v>#ERROR!</v>
      </c>
      <c r="E64" s="157" t="str">
        <f t="shared" si="1"/>
        <v>#ERROR!</v>
      </c>
      <c r="F64" s="157" t="str">
        <f t="shared" si="2"/>
        <v>#ERROR!</v>
      </c>
      <c r="G64" s="162" t="str">
        <f t="shared" si="3"/>
        <v>#ERROR!</v>
      </c>
      <c r="H64" s="157"/>
      <c r="I64" s="157"/>
      <c r="J64" s="157"/>
      <c r="K64" s="157"/>
    </row>
    <row r="65" ht="15.75" hidden="1" customHeight="1">
      <c r="A65" s="157"/>
      <c r="B65" s="159" t="str">
        <f>TRVS!#REF!</f>
        <v>#ERROR!</v>
      </c>
      <c r="C65" s="161" t="str">
        <f>TRVS!#REF!</f>
        <v>#ERROR!</v>
      </c>
      <c r="D65" s="161" t="str">
        <f>TRVS!#REF!</f>
        <v>#ERROR!</v>
      </c>
      <c r="E65" s="157" t="str">
        <f t="shared" si="1"/>
        <v>#ERROR!</v>
      </c>
      <c r="F65" s="157" t="str">
        <f t="shared" si="2"/>
        <v>#ERROR!</v>
      </c>
      <c r="G65" s="162" t="str">
        <f t="shared" si="3"/>
        <v>#ERROR!</v>
      </c>
      <c r="H65" s="157"/>
      <c r="I65" s="157"/>
      <c r="J65" s="157"/>
      <c r="K65" s="157"/>
    </row>
    <row r="66" ht="15.75" hidden="1" customHeight="1">
      <c r="A66" s="157"/>
      <c r="B66" s="159" t="str">
        <f>TRVS!#REF!</f>
        <v>#ERROR!</v>
      </c>
      <c r="C66" s="161" t="str">
        <f>TRVS!#REF!</f>
        <v>#ERROR!</v>
      </c>
      <c r="D66" s="161" t="str">
        <f>TRVS!#REF!</f>
        <v>#ERROR!</v>
      </c>
      <c r="E66" s="157" t="str">
        <f t="shared" si="1"/>
        <v>#ERROR!</v>
      </c>
      <c r="F66" s="157" t="str">
        <f t="shared" si="2"/>
        <v>#ERROR!</v>
      </c>
      <c r="G66" s="162" t="str">
        <f t="shared" si="3"/>
        <v>#ERROR!</v>
      </c>
      <c r="H66" s="157"/>
      <c r="I66" s="157"/>
      <c r="J66" s="157"/>
      <c r="K66" s="157"/>
    </row>
    <row r="67" ht="15.75" hidden="1" customHeight="1">
      <c r="A67" s="157"/>
      <c r="B67" s="159" t="str">
        <f>TRVS!#REF!</f>
        <v>#ERROR!</v>
      </c>
      <c r="C67" s="161" t="str">
        <f>TRVS!#REF!</f>
        <v>#ERROR!</v>
      </c>
      <c r="D67" s="161" t="str">
        <f>TRVS!#REF!</f>
        <v>#ERROR!</v>
      </c>
      <c r="E67" s="157" t="str">
        <f t="shared" si="1"/>
        <v>#ERROR!</v>
      </c>
      <c r="F67" s="157" t="str">
        <f t="shared" si="2"/>
        <v>#ERROR!</v>
      </c>
      <c r="G67" s="162" t="str">
        <f t="shared" si="3"/>
        <v>#ERROR!</v>
      </c>
      <c r="H67" s="157"/>
      <c r="I67" s="157"/>
      <c r="J67" s="157"/>
      <c r="K67" s="157"/>
    </row>
    <row r="68" ht="15.75" hidden="1" customHeight="1">
      <c r="A68" s="157"/>
      <c r="B68" s="159" t="str">
        <f>TRVS!#REF!</f>
        <v>#ERROR!</v>
      </c>
      <c r="C68" s="161" t="str">
        <f>TRVS!#REF!</f>
        <v>#ERROR!</v>
      </c>
      <c r="D68" s="161" t="str">
        <f>TRVS!#REF!</f>
        <v>#ERROR!</v>
      </c>
      <c r="E68" s="157" t="str">
        <f t="shared" si="1"/>
        <v>#ERROR!</v>
      </c>
      <c r="F68" s="157" t="str">
        <f t="shared" si="2"/>
        <v>#ERROR!</v>
      </c>
      <c r="G68" s="162" t="str">
        <f t="shared" si="3"/>
        <v>#ERROR!</v>
      </c>
      <c r="H68" s="157"/>
      <c r="I68" s="157"/>
      <c r="J68" s="157"/>
      <c r="K68" s="157"/>
    </row>
    <row r="69" ht="15.75" hidden="1" customHeight="1">
      <c r="A69" s="157"/>
      <c r="B69" s="159" t="str">
        <f>TRVS!#REF!</f>
        <v>#ERROR!</v>
      </c>
      <c r="C69" s="161" t="str">
        <f>TRVS!#REF!</f>
        <v>#ERROR!</v>
      </c>
      <c r="D69" s="161" t="str">
        <f>TRVS!#REF!</f>
        <v>#ERROR!</v>
      </c>
      <c r="E69" s="157" t="str">
        <f t="shared" si="1"/>
        <v>#ERROR!</v>
      </c>
      <c r="F69" s="157" t="str">
        <f t="shared" si="2"/>
        <v>#ERROR!</v>
      </c>
      <c r="G69" s="162" t="str">
        <f t="shared" si="3"/>
        <v>#ERROR!</v>
      </c>
      <c r="H69" s="157"/>
      <c r="I69" s="157"/>
      <c r="J69" s="157"/>
      <c r="K69" s="157"/>
    </row>
    <row r="70" ht="15.75" hidden="1" customHeight="1">
      <c r="A70" s="157"/>
      <c r="B70" s="159" t="str">
        <f>TRVS!#REF!</f>
        <v>#ERROR!</v>
      </c>
      <c r="C70" s="161" t="str">
        <f>TRVS!#REF!</f>
        <v>#ERROR!</v>
      </c>
      <c r="D70" s="161" t="str">
        <f>TRVS!#REF!</f>
        <v>#ERROR!</v>
      </c>
      <c r="E70" s="157" t="str">
        <f t="shared" si="1"/>
        <v>#ERROR!</v>
      </c>
      <c r="F70" s="157" t="str">
        <f t="shared" si="2"/>
        <v>#ERROR!</v>
      </c>
      <c r="G70" s="162" t="str">
        <f t="shared" si="3"/>
        <v>#ERROR!</v>
      </c>
      <c r="H70" s="157"/>
      <c r="I70" s="157"/>
      <c r="J70" s="157"/>
      <c r="K70" s="157"/>
    </row>
    <row r="71" ht="15.75" hidden="1" customHeight="1">
      <c r="A71" s="157"/>
      <c r="B71" s="159" t="str">
        <f>TRVS!#REF!</f>
        <v>#ERROR!</v>
      </c>
      <c r="C71" s="161" t="str">
        <f>TRVS!#REF!</f>
        <v>#ERROR!</v>
      </c>
      <c r="D71" s="161" t="str">
        <f>TRVS!#REF!</f>
        <v>#ERROR!</v>
      </c>
      <c r="E71" s="157" t="str">
        <f t="shared" si="1"/>
        <v>#ERROR!</v>
      </c>
      <c r="F71" s="157" t="str">
        <f t="shared" si="2"/>
        <v>#ERROR!</v>
      </c>
      <c r="G71" s="162" t="str">
        <f t="shared" si="3"/>
        <v>#ERROR!</v>
      </c>
      <c r="H71" s="157"/>
      <c r="I71" s="157"/>
      <c r="J71" s="157"/>
      <c r="K71" s="157"/>
    </row>
    <row r="72" ht="15.75" hidden="1" customHeight="1">
      <c r="A72" s="157"/>
      <c r="B72" s="159" t="str">
        <f>TRVS!#REF!</f>
        <v>#ERROR!</v>
      </c>
      <c r="C72" s="161" t="str">
        <f>TRVS!#REF!</f>
        <v>#ERROR!</v>
      </c>
      <c r="D72" s="161" t="str">
        <f>TRVS!#REF!</f>
        <v>#ERROR!</v>
      </c>
      <c r="E72" s="157" t="str">
        <f t="shared" si="1"/>
        <v>#ERROR!</v>
      </c>
      <c r="F72" s="157" t="str">
        <f t="shared" si="2"/>
        <v>#ERROR!</v>
      </c>
      <c r="G72" s="162" t="str">
        <f t="shared" si="3"/>
        <v>#ERROR!</v>
      </c>
      <c r="H72" s="157"/>
      <c r="I72" s="157"/>
      <c r="J72" s="157"/>
      <c r="K72" s="157"/>
    </row>
    <row r="73" ht="15.75" hidden="1" customHeight="1">
      <c r="A73" s="157"/>
      <c r="B73" s="159" t="str">
        <f>TRVS!#REF!</f>
        <v>#ERROR!</v>
      </c>
      <c r="C73" s="161" t="str">
        <f>TRVS!#REF!</f>
        <v>#ERROR!</v>
      </c>
      <c r="D73" s="161" t="str">
        <f>TRVS!#REF!</f>
        <v>#ERROR!</v>
      </c>
      <c r="E73" s="157" t="str">
        <f t="shared" si="1"/>
        <v>#ERROR!</v>
      </c>
      <c r="F73" s="157" t="str">
        <f t="shared" si="2"/>
        <v>#ERROR!</v>
      </c>
      <c r="G73" s="162" t="str">
        <f t="shared" si="3"/>
        <v>#ERROR!</v>
      </c>
      <c r="H73" s="157"/>
      <c r="I73" s="157"/>
      <c r="J73" s="157"/>
      <c r="K73" s="157"/>
    </row>
    <row r="74" ht="15.75" hidden="1" customHeight="1">
      <c r="A74" s="157"/>
      <c r="B74" s="159" t="str">
        <f>TRVS!#REF!</f>
        <v>#ERROR!</v>
      </c>
      <c r="C74" s="161" t="str">
        <f>TRVS!#REF!</f>
        <v>#ERROR!</v>
      </c>
      <c r="D74" s="161" t="str">
        <f>TRVS!#REF!</f>
        <v>#ERROR!</v>
      </c>
      <c r="E74" s="157" t="str">
        <f t="shared" si="1"/>
        <v>#ERROR!</v>
      </c>
      <c r="F74" s="157" t="str">
        <f t="shared" si="2"/>
        <v>#ERROR!</v>
      </c>
      <c r="G74" s="162" t="str">
        <f t="shared" si="3"/>
        <v>#ERROR!</v>
      </c>
      <c r="H74" s="157"/>
      <c r="I74" s="157"/>
      <c r="J74" s="157"/>
      <c r="K74" s="157"/>
    </row>
    <row r="75" ht="15.75" hidden="1" customHeight="1">
      <c r="A75" s="157"/>
      <c r="B75" s="159" t="str">
        <f>TRVS!#REF!</f>
        <v>#ERROR!</v>
      </c>
      <c r="C75" s="161" t="str">
        <f>TRVS!#REF!</f>
        <v>#ERROR!</v>
      </c>
      <c r="D75" s="161" t="str">
        <f>TRVS!#REF!</f>
        <v>#ERROR!</v>
      </c>
      <c r="E75" s="157" t="str">
        <f t="shared" si="1"/>
        <v>#ERROR!</v>
      </c>
      <c r="F75" s="157" t="str">
        <f t="shared" si="2"/>
        <v>#ERROR!</v>
      </c>
      <c r="G75" s="162" t="str">
        <f t="shared" si="3"/>
        <v>#ERROR!</v>
      </c>
      <c r="H75" s="157"/>
      <c r="I75" s="157"/>
      <c r="J75" s="157"/>
      <c r="K75" s="157"/>
    </row>
    <row r="76" ht="15.75" hidden="1" customHeight="1">
      <c r="A76" s="157"/>
      <c r="B76" s="159" t="str">
        <f>TRVS!#REF!</f>
        <v>#ERROR!</v>
      </c>
      <c r="C76" s="161" t="str">
        <f>TRVS!#REF!</f>
        <v>#ERROR!</v>
      </c>
      <c r="D76" s="161" t="str">
        <f>TRVS!#REF!</f>
        <v>#ERROR!</v>
      </c>
      <c r="E76" s="157" t="str">
        <f t="shared" si="1"/>
        <v>#ERROR!</v>
      </c>
      <c r="F76" s="157" t="str">
        <f t="shared" si="2"/>
        <v>#ERROR!</v>
      </c>
      <c r="G76" s="162" t="str">
        <f t="shared" si="3"/>
        <v>#ERROR!</v>
      </c>
      <c r="H76" s="157"/>
      <c r="I76" s="157"/>
      <c r="J76" s="157"/>
      <c r="K76" s="157"/>
    </row>
    <row r="77" ht="15.75" hidden="1" customHeight="1">
      <c r="A77" s="157"/>
      <c r="B77" s="159" t="str">
        <f>TRVS!#REF!</f>
        <v>#ERROR!</v>
      </c>
      <c r="C77" s="161" t="str">
        <f>TRVS!#REF!</f>
        <v>#ERROR!</v>
      </c>
      <c r="D77" s="161" t="str">
        <f>TRVS!#REF!</f>
        <v>#ERROR!</v>
      </c>
      <c r="E77" s="157" t="str">
        <f t="shared" si="1"/>
        <v>#ERROR!</v>
      </c>
      <c r="F77" s="157" t="str">
        <f t="shared" si="2"/>
        <v>#ERROR!</v>
      </c>
      <c r="G77" s="162" t="str">
        <f t="shared" si="3"/>
        <v>#ERROR!</v>
      </c>
      <c r="H77" s="157"/>
      <c r="I77" s="157"/>
      <c r="J77" s="157"/>
      <c r="K77" s="157"/>
    </row>
    <row r="78" ht="15.75" hidden="1" customHeight="1">
      <c r="A78" s="157"/>
      <c r="B78" s="159" t="str">
        <f>TRVS!#REF!</f>
        <v>#ERROR!</v>
      </c>
      <c r="C78" s="161" t="str">
        <f>TRVS!#REF!</f>
        <v>#ERROR!</v>
      </c>
      <c r="D78" s="161" t="str">
        <f>TRVS!#REF!</f>
        <v>#ERROR!</v>
      </c>
      <c r="E78" s="157" t="str">
        <f t="shared" si="1"/>
        <v>#ERROR!</v>
      </c>
      <c r="F78" s="157" t="str">
        <f t="shared" si="2"/>
        <v>#ERROR!</v>
      </c>
      <c r="G78" s="162" t="str">
        <f t="shared" si="3"/>
        <v>#ERROR!</v>
      </c>
      <c r="H78" s="157"/>
      <c r="I78" s="157"/>
      <c r="J78" s="157"/>
      <c r="K78" s="157"/>
    </row>
    <row r="79" ht="15.75" hidden="1" customHeight="1">
      <c r="A79" s="157"/>
      <c r="B79" s="159" t="str">
        <f>TRVS!#REF!</f>
        <v>#ERROR!</v>
      </c>
      <c r="C79" s="161" t="str">
        <f>TRVS!#REF!</f>
        <v>#ERROR!</v>
      </c>
      <c r="D79" s="161" t="str">
        <f>TRVS!#REF!</f>
        <v>#ERROR!</v>
      </c>
      <c r="E79" s="157" t="str">
        <f t="shared" si="1"/>
        <v>#ERROR!</v>
      </c>
      <c r="F79" s="157" t="str">
        <f t="shared" si="2"/>
        <v>#ERROR!</v>
      </c>
      <c r="G79" s="162" t="str">
        <f t="shared" si="3"/>
        <v>#ERROR!</v>
      </c>
      <c r="H79" s="157"/>
      <c r="I79" s="157"/>
      <c r="J79" s="157"/>
      <c r="K79" s="157"/>
    </row>
    <row r="80" ht="15.75" hidden="1" customHeight="1">
      <c r="A80" s="157"/>
      <c r="B80" s="159" t="str">
        <f>TRVS!#REF!</f>
        <v>#ERROR!</v>
      </c>
      <c r="C80" s="161" t="str">
        <f>TRVS!#REF!</f>
        <v>#ERROR!</v>
      </c>
      <c r="D80" s="161" t="str">
        <f>TRVS!#REF!</f>
        <v>#ERROR!</v>
      </c>
      <c r="E80" s="157" t="str">
        <f t="shared" si="1"/>
        <v>#ERROR!</v>
      </c>
      <c r="F80" s="157" t="str">
        <f t="shared" si="2"/>
        <v>#ERROR!</v>
      </c>
      <c r="G80" s="162" t="str">
        <f t="shared" si="3"/>
        <v>#ERROR!</v>
      </c>
      <c r="H80" s="157"/>
      <c r="I80" s="157"/>
      <c r="J80" s="157"/>
      <c r="K80" s="157"/>
    </row>
    <row r="81" ht="15.75" hidden="1" customHeight="1">
      <c r="A81" s="157"/>
      <c r="B81" s="159" t="str">
        <f>TRVS!#REF!</f>
        <v>#ERROR!</v>
      </c>
      <c r="C81" s="161" t="str">
        <f>TRVS!#REF!</f>
        <v>#ERROR!</v>
      </c>
      <c r="D81" s="161" t="str">
        <f>TRVS!#REF!</f>
        <v>#ERROR!</v>
      </c>
      <c r="E81" s="157" t="str">
        <f t="shared" si="1"/>
        <v>#ERROR!</v>
      </c>
      <c r="F81" s="157" t="str">
        <f t="shared" si="2"/>
        <v>#ERROR!</v>
      </c>
      <c r="G81" s="162" t="str">
        <f t="shared" si="3"/>
        <v>#ERROR!</v>
      </c>
      <c r="H81" s="157"/>
      <c r="I81" s="157"/>
      <c r="J81" s="157"/>
      <c r="K81" s="157"/>
    </row>
    <row r="82" ht="15.75" hidden="1" customHeight="1">
      <c r="A82" s="157"/>
      <c r="B82" s="159" t="str">
        <f>TRVS!#REF!</f>
        <v>#ERROR!</v>
      </c>
      <c r="C82" s="161" t="str">
        <f>TRVS!#REF!</f>
        <v>#ERROR!</v>
      </c>
      <c r="D82" s="161" t="str">
        <f>TRVS!#REF!</f>
        <v>#ERROR!</v>
      </c>
      <c r="E82" s="157" t="str">
        <f t="shared" si="1"/>
        <v>#ERROR!</v>
      </c>
      <c r="F82" s="157" t="str">
        <f t="shared" si="2"/>
        <v>#ERROR!</v>
      </c>
      <c r="G82" s="162" t="str">
        <f t="shared" si="3"/>
        <v>#ERROR!</v>
      </c>
      <c r="H82" s="157"/>
      <c r="I82" s="157"/>
      <c r="J82" s="157"/>
      <c r="K82" s="157"/>
    </row>
    <row r="83" ht="15.75" hidden="1" customHeight="1">
      <c r="A83" s="157"/>
      <c r="B83" s="159" t="str">
        <f>TRVS!#REF!</f>
        <v>#ERROR!</v>
      </c>
      <c r="C83" s="161" t="str">
        <f>TRVS!#REF!</f>
        <v>#ERROR!</v>
      </c>
      <c r="D83" s="161" t="str">
        <f>TRVS!#REF!</f>
        <v>#ERROR!</v>
      </c>
      <c r="E83" s="157" t="str">
        <f t="shared" si="1"/>
        <v>#ERROR!</v>
      </c>
      <c r="F83" s="157" t="str">
        <f t="shared" si="2"/>
        <v>#ERROR!</v>
      </c>
      <c r="G83" s="162" t="str">
        <f t="shared" si="3"/>
        <v>#ERROR!</v>
      </c>
      <c r="H83" s="157"/>
      <c r="I83" s="157"/>
      <c r="J83" s="157"/>
      <c r="K83" s="157"/>
    </row>
    <row r="84" ht="15.75" hidden="1" customHeight="1">
      <c r="A84" s="157"/>
      <c r="B84" s="159" t="str">
        <f>TRVS!#REF!</f>
        <v>#ERROR!</v>
      </c>
      <c r="C84" s="161" t="str">
        <f>TRVS!#REF!</f>
        <v>#ERROR!</v>
      </c>
      <c r="D84" s="161" t="str">
        <f>TRVS!#REF!</f>
        <v>#ERROR!</v>
      </c>
      <c r="E84" s="157" t="str">
        <f t="shared" si="1"/>
        <v>#ERROR!</v>
      </c>
      <c r="F84" s="157" t="str">
        <f t="shared" si="2"/>
        <v>#ERROR!</v>
      </c>
      <c r="G84" s="162" t="str">
        <f t="shared" si="3"/>
        <v>#ERROR!</v>
      </c>
      <c r="H84" s="157"/>
      <c r="I84" s="157"/>
      <c r="J84" s="157"/>
      <c r="K84" s="157"/>
    </row>
    <row r="85" ht="15.75" hidden="1" customHeight="1">
      <c r="A85" s="157"/>
      <c r="B85" s="159" t="str">
        <f>TRVS!#REF!</f>
        <v>#ERROR!</v>
      </c>
      <c r="C85" s="161" t="str">
        <f>TRVS!#REF!</f>
        <v>#ERROR!</v>
      </c>
      <c r="D85" s="161" t="str">
        <f>TRVS!#REF!</f>
        <v>#ERROR!</v>
      </c>
      <c r="E85" s="157" t="str">
        <f t="shared" si="1"/>
        <v>#ERROR!</v>
      </c>
      <c r="F85" s="157" t="str">
        <f t="shared" si="2"/>
        <v>#ERROR!</v>
      </c>
      <c r="G85" s="162" t="str">
        <f t="shared" si="3"/>
        <v>#ERROR!</v>
      </c>
      <c r="H85" s="157"/>
      <c r="I85" s="157"/>
      <c r="J85" s="157"/>
      <c r="K85" s="157"/>
    </row>
    <row r="86" ht="15.75" hidden="1" customHeight="1">
      <c r="A86" s="157"/>
      <c r="B86" s="159" t="str">
        <f>TRVS!#REF!</f>
        <v>#ERROR!</v>
      </c>
      <c r="C86" s="161" t="str">
        <f>TRVS!#REF!</f>
        <v>#ERROR!</v>
      </c>
      <c r="D86" s="161" t="str">
        <f>TRVS!#REF!</f>
        <v>#ERROR!</v>
      </c>
      <c r="E86" s="157" t="str">
        <f t="shared" si="1"/>
        <v>#ERROR!</v>
      </c>
      <c r="F86" s="157" t="str">
        <f t="shared" si="2"/>
        <v>#ERROR!</v>
      </c>
      <c r="G86" s="162" t="str">
        <f t="shared" si="3"/>
        <v>#ERROR!</v>
      </c>
      <c r="H86" s="157"/>
      <c r="I86" s="157"/>
      <c r="J86" s="157"/>
      <c r="K86" s="157"/>
    </row>
    <row r="87" ht="15.75" hidden="1" customHeight="1">
      <c r="A87" s="157"/>
      <c r="B87" s="159" t="str">
        <f>TRVS!#REF!</f>
        <v>#ERROR!</v>
      </c>
      <c r="C87" s="161" t="str">
        <f>TRVS!#REF!</f>
        <v>#ERROR!</v>
      </c>
      <c r="D87" s="161" t="str">
        <f>TRVS!#REF!</f>
        <v>#ERROR!</v>
      </c>
      <c r="E87" s="157" t="str">
        <f t="shared" si="1"/>
        <v>#ERROR!</v>
      </c>
      <c r="F87" s="157" t="str">
        <f t="shared" si="2"/>
        <v>#ERROR!</v>
      </c>
      <c r="G87" s="162" t="str">
        <f t="shared" si="3"/>
        <v>#ERROR!</v>
      </c>
      <c r="H87" s="157"/>
      <c r="I87" s="157"/>
      <c r="J87" s="157"/>
      <c r="K87" s="157"/>
    </row>
    <row r="88" ht="15.75" hidden="1" customHeight="1">
      <c r="A88" s="157"/>
      <c r="B88" s="159" t="str">
        <f>TRVS!#REF!</f>
        <v>#ERROR!</v>
      </c>
      <c r="C88" s="161" t="str">
        <f>TRVS!#REF!</f>
        <v>#ERROR!</v>
      </c>
      <c r="D88" s="161" t="str">
        <f>TRVS!#REF!</f>
        <v>#ERROR!</v>
      </c>
      <c r="E88" s="157" t="str">
        <f t="shared" si="1"/>
        <v>#ERROR!</v>
      </c>
      <c r="F88" s="157" t="str">
        <f t="shared" si="2"/>
        <v>#ERROR!</v>
      </c>
      <c r="G88" s="162" t="str">
        <f t="shared" si="3"/>
        <v>#ERROR!</v>
      </c>
      <c r="H88" s="157"/>
      <c r="I88" s="157"/>
      <c r="J88" s="157"/>
      <c r="K88" s="157"/>
    </row>
    <row r="89" ht="15.75" hidden="1" customHeight="1">
      <c r="A89" s="157"/>
      <c r="B89" s="159" t="str">
        <f>TRVS!#REF!</f>
        <v>#ERROR!</v>
      </c>
      <c r="C89" s="161" t="str">
        <f>TRVS!#REF!</f>
        <v>#ERROR!</v>
      </c>
      <c r="D89" s="161" t="str">
        <f>TRVS!#REF!</f>
        <v>#ERROR!</v>
      </c>
      <c r="E89" s="157" t="str">
        <f t="shared" si="1"/>
        <v>#ERROR!</v>
      </c>
      <c r="F89" s="157" t="str">
        <f t="shared" si="2"/>
        <v>#ERROR!</v>
      </c>
      <c r="G89" s="162" t="str">
        <f t="shared" si="3"/>
        <v>#ERROR!</v>
      </c>
      <c r="H89" s="157"/>
      <c r="I89" s="157"/>
      <c r="J89" s="157"/>
      <c r="K89" s="157"/>
    </row>
    <row r="90" ht="15.75" hidden="1" customHeight="1">
      <c r="A90" s="157"/>
      <c r="B90" s="159" t="str">
        <f>TRVS!#REF!</f>
        <v>#ERROR!</v>
      </c>
      <c r="C90" s="161" t="str">
        <f>TRVS!#REF!</f>
        <v>#ERROR!</v>
      </c>
      <c r="D90" s="161" t="str">
        <f>TRVS!#REF!</f>
        <v>#ERROR!</v>
      </c>
      <c r="E90" s="157" t="str">
        <f t="shared" si="1"/>
        <v>#ERROR!</v>
      </c>
      <c r="F90" s="157" t="str">
        <f t="shared" si="2"/>
        <v>#ERROR!</v>
      </c>
      <c r="G90" s="162" t="str">
        <f t="shared" si="3"/>
        <v>#ERROR!</v>
      </c>
      <c r="H90" s="157"/>
      <c r="I90" s="157"/>
      <c r="J90" s="157"/>
      <c r="K90" s="157"/>
    </row>
    <row r="91" ht="15.75" hidden="1" customHeight="1">
      <c r="A91" s="157"/>
      <c r="B91" s="159" t="str">
        <f>TRVS!#REF!</f>
        <v>#ERROR!</v>
      </c>
      <c r="C91" s="161" t="str">
        <f>TRVS!#REF!</f>
        <v>#ERROR!</v>
      </c>
      <c r="D91" s="161" t="str">
        <f>TRVS!#REF!</f>
        <v>#ERROR!</v>
      </c>
      <c r="E91" s="157" t="str">
        <f t="shared" si="1"/>
        <v>#ERROR!</v>
      </c>
      <c r="F91" s="157" t="str">
        <f t="shared" si="2"/>
        <v>#ERROR!</v>
      </c>
      <c r="G91" s="162" t="str">
        <f t="shared" si="3"/>
        <v>#ERROR!</v>
      </c>
      <c r="H91" s="157"/>
      <c r="I91" s="157"/>
      <c r="J91" s="157"/>
      <c r="K91" s="157"/>
    </row>
    <row r="92" ht="15.75" hidden="1" customHeight="1">
      <c r="A92" s="157"/>
      <c r="B92" s="159" t="str">
        <f>TRVS!#REF!</f>
        <v>#ERROR!</v>
      </c>
      <c r="C92" s="161" t="str">
        <f>TRVS!#REF!</f>
        <v>#ERROR!</v>
      </c>
      <c r="D92" s="161" t="str">
        <f>TRVS!#REF!</f>
        <v>#ERROR!</v>
      </c>
      <c r="E92" s="157" t="str">
        <f t="shared" si="1"/>
        <v>#ERROR!</v>
      </c>
      <c r="F92" s="157" t="str">
        <f t="shared" si="2"/>
        <v>#ERROR!</v>
      </c>
      <c r="G92" s="162" t="str">
        <f t="shared" si="3"/>
        <v>#ERROR!</v>
      </c>
      <c r="H92" s="157"/>
      <c r="I92" s="157"/>
      <c r="J92" s="157"/>
      <c r="K92" s="157"/>
    </row>
    <row r="93" ht="15.75" hidden="1" customHeight="1">
      <c r="A93" s="157"/>
      <c r="B93" s="159" t="str">
        <f>TRVS!#REF!</f>
        <v>#ERROR!</v>
      </c>
      <c r="C93" s="161" t="str">
        <f>TRVS!#REF!</f>
        <v>#ERROR!</v>
      </c>
      <c r="D93" s="161" t="str">
        <f>TRVS!#REF!</f>
        <v>#ERROR!</v>
      </c>
      <c r="E93" s="157" t="str">
        <f t="shared" si="1"/>
        <v>#ERROR!</v>
      </c>
      <c r="F93" s="157" t="str">
        <f t="shared" si="2"/>
        <v>#ERROR!</v>
      </c>
      <c r="G93" s="162" t="str">
        <f t="shared" si="3"/>
        <v>#ERROR!</v>
      </c>
      <c r="H93" s="157"/>
      <c r="I93" s="157"/>
      <c r="J93" s="157"/>
      <c r="K93" s="157"/>
    </row>
    <row r="94" ht="15.75" hidden="1" customHeight="1">
      <c r="A94" s="157"/>
      <c r="B94" s="159" t="str">
        <f>TRVS!#REF!</f>
        <v>#ERROR!</v>
      </c>
      <c r="C94" s="161" t="str">
        <f>TRVS!#REF!</f>
        <v>#ERROR!</v>
      </c>
      <c r="D94" s="161" t="str">
        <f>TRVS!#REF!</f>
        <v>#ERROR!</v>
      </c>
      <c r="E94" s="157" t="str">
        <f t="shared" si="1"/>
        <v>#ERROR!</v>
      </c>
      <c r="F94" s="157" t="str">
        <f t="shared" si="2"/>
        <v>#ERROR!</v>
      </c>
      <c r="G94" s="162" t="str">
        <f t="shared" si="3"/>
        <v>#ERROR!</v>
      </c>
      <c r="H94" s="157"/>
      <c r="I94" s="157"/>
      <c r="J94" s="157"/>
      <c r="K94" s="157"/>
    </row>
    <row r="95" ht="15.75" hidden="1" customHeight="1">
      <c r="A95" s="157"/>
      <c r="B95" s="159" t="str">
        <f>TRVS!#REF!</f>
        <v>#ERROR!</v>
      </c>
      <c r="C95" s="161" t="str">
        <f>TRVS!#REF!</f>
        <v>#ERROR!</v>
      </c>
      <c r="D95" s="161" t="str">
        <f>TRVS!#REF!</f>
        <v>#ERROR!</v>
      </c>
      <c r="E95" s="157" t="str">
        <f t="shared" si="1"/>
        <v>#ERROR!</v>
      </c>
      <c r="F95" s="157" t="str">
        <f t="shared" si="2"/>
        <v>#ERROR!</v>
      </c>
      <c r="G95" s="162" t="str">
        <f t="shared" si="3"/>
        <v>#ERROR!</v>
      </c>
      <c r="H95" s="157"/>
      <c r="I95" s="157"/>
      <c r="J95" s="157"/>
      <c r="K95" s="157"/>
    </row>
    <row r="96" ht="15.75" hidden="1" customHeight="1">
      <c r="A96" s="157"/>
      <c r="B96" s="159" t="str">
        <f>TRVS!#REF!</f>
        <v>#ERROR!</v>
      </c>
      <c r="C96" s="161" t="str">
        <f>TRVS!#REF!</f>
        <v>#ERROR!</v>
      </c>
      <c r="D96" s="161" t="str">
        <f>TRVS!#REF!</f>
        <v>#ERROR!</v>
      </c>
      <c r="E96" s="157" t="str">
        <f t="shared" si="1"/>
        <v>#ERROR!</v>
      </c>
      <c r="F96" s="157" t="str">
        <f t="shared" si="2"/>
        <v>#ERROR!</v>
      </c>
      <c r="G96" s="162" t="str">
        <f t="shared" si="3"/>
        <v>#ERROR!</v>
      </c>
      <c r="H96" s="157"/>
      <c r="I96" s="157"/>
      <c r="J96" s="157"/>
      <c r="K96" s="157"/>
    </row>
    <row r="97" ht="15.75" hidden="1" customHeight="1">
      <c r="A97" s="157"/>
      <c r="B97" s="159" t="str">
        <f>TRVS!#REF!</f>
        <v>#ERROR!</v>
      </c>
      <c r="C97" s="161" t="str">
        <f>TRVS!#REF!</f>
        <v>#ERROR!</v>
      </c>
      <c r="D97" s="161" t="str">
        <f>TRVS!#REF!</f>
        <v>#ERROR!</v>
      </c>
      <c r="E97" s="157" t="str">
        <f t="shared" si="1"/>
        <v>#ERROR!</v>
      </c>
      <c r="F97" s="157" t="str">
        <f t="shared" si="2"/>
        <v>#ERROR!</v>
      </c>
      <c r="G97" s="162" t="str">
        <f t="shared" si="3"/>
        <v>#ERROR!</v>
      </c>
      <c r="H97" s="157"/>
      <c r="I97" s="157"/>
      <c r="J97" s="157"/>
      <c r="K97" s="157"/>
    </row>
    <row r="98" ht="15.75" hidden="1" customHeight="1">
      <c r="A98" s="157"/>
      <c r="B98" s="159" t="str">
        <f>TRVS!#REF!</f>
        <v>#ERROR!</v>
      </c>
      <c r="C98" s="161" t="str">
        <f>TRVS!#REF!</f>
        <v>#ERROR!</v>
      </c>
      <c r="D98" s="161" t="str">
        <f>TRVS!#REF!</f>
        <v>#ERROR!</v>
      </c>
      <c r="E98" s="157" t="str">
        <f t="shared" si="1"/>
        <v>#ERROR!</v>
      </c>
      <c r="F98" s="157" t="str">
        <f t="shared" si="2"/>
        <v>#ERROR!</v>
      </c>
      <c r="G98" s="162" t="str">
        <f t="shared" si="3"/>
        <v>#ERROR!</v>
      </c>
      <c r="H98" s="157"/>
      <c r="I98" s="157"/>
      <c r="J98" s="157"/>
      <c r="K98" s="157"/>
    </row>
    <row r="99" ht="15.75" hidden="1" customHeight="1">
      <c r="A99" s="157"/>
      <c r="B99" s="159" t="str">
        <f>TRVS!#REF!</f>
        <v>#ERROR!</v>
      </c>
      <c r="C99" s="161" t="str">
        <f>TRVS!#REF!</f>
        <v>#ERROR!</v>
      </c>
      <c r="D99" s="161" t="str">
        <f>TRVS!#REF!</f>
        <v>#ERROR!</v>
      </c>
      <c r="E99" s="157" t="str">
        <f t="shared" si="1"/>
        <v>#ERROR!</v>
      </c>
      <c r="F99" s="157" t="str">
        <f t="shared" si="2"/>
        <v>#ERROR!</v>
      </c>
      <c r="G99" s="162" t="str">
        <f t="shared" si="3"/>
        <v>#ERROR!</v>
      </c>
      <c r="H99" s="157"/>
      <c r="I99" s="157"/>
      <c r="J99" s="157"/>
      <c r="K99" s="157"/>
    </row>
    <row r="100" ht="15.75" hidden="1" customHeight="1">
      <c r="A100" s="157"/>
      <c r="B100" s="159" t="str">
        <f>TRVS!#REF!</f>
        <v>#ERROR!</v>
      </c>
      <c r="C100" s="161" t="str">
        <f>TRVS!#REF!</f>
        <v>#ERROR!</v>
      </c>
      <c r="D100" s="161" t="str">
        <f>TRVS!#REF!</f>
        <v>#ERROR!</v>
      </c>
      <c r="E100" s="157" t="str">
        <f t="shared" si="1"/>
        <v>#ERROR!</v>
      </c>
      <c r="F100" s="157" t="str">
        <f t="shared" si="2"/>
        <v>#ERROR!</v>
      </c>
      <c r="G100" s="162" t="str">
        <f t="shared" si="3"/>
        <v>#ERROR!</v>
      </c>
      <c r="H100" s="157"/>
      <c r="I100" s="157"/>
      <c r="J100" s="157"/>
      <c r="K100" s="157"/>
    </row>
    <row r="101" ht="15.75" hidden="1" customHeight="1">
      <c r="A101" s="157"/>
      <c r="B101" s="159" t="str">
        <f>TRVS!#REF!</f>
        <v>#ERROR!</v>
      </c>
      <c r="C101" s="161" t="str">
        <f>TRVS!#REF!</f>
        <v>#ERROR!</v>
      </c>
      <c r="D101" s="161" t="str">
        <f>TRVS!#REF!</f>
        <v>#ERROR!</v>
      </c>
      <c r="E101" s="157" t="str">
        <f t="shared" si="1"/>
        <v>#ERROR!</v>
      </c>
      <c r="F101" s="157" t="str">
        <f t="shared" si="2"/>
        <v>#ERROR!</v>
      </c>
      <c r="G101" s="162" t="str">
        <f t="shared" si="3"/>
        <v>#ERROR!</v>
      </c>
      <c r="H101" s="157"/>
      <c r="I101" s="157"/>
      <c r="J101" s="157"/>
      <c r="K101" s="157"/>
    </row>
    <row r="102" ht="15.75" hidden="1" customHeight="1">
      <c r="A102" s="157"/>
      <c r="B102" s="159" t="str">
        <f>TRVS!#REF!</f>
        <v>#ERROR!</v>
      </c>
      <c r="C102" s="161" t="str">
        <f>TRVS!#REF!</f>
        <v>#ERROR!</v>
      </c>
      <c r="D102" s="161" t="str">
        <f>TRVS!#REF!</f>
        <v>#ERROR!</v>
      </c>
      <c r="E102" s="157" t="str">
        <f t="shared" si="1"/>
        <v>#ERROR!</v>
      </c>
      <c r="F102" s="157" t="str">
        <f t="shared" si="2"/>
        <v>#ERROR!</v>
      </c>
      <c r="G102" s="162" t="str">
        <f t="shared" si="3"/>
        <v>#ERROR!</v>
      </c>
      <c r="H102" s="157"/>
      <c r="I102" s="157"/>
      <c r="J102" s="157"/>
      <c r="K102" s="157"/>
    </row>
    <row r="103" ht="15.75" hidden="1" customHeight="1">
      <c r="A103" s="157"/>
      <c r="B103" s="159" t="str">
        <f>TRVS!S76</f>
        <v>CM63</v>
      </c>
      <c r="C103" s="161" t="str">
        <f>TRVS!T76</f>
        <v>46044.747</v>
      </c>
      <c r="D103" s="161" t="str">
        <f>TRVS!U76</f>
        <v>210864.961</v>
      </c>
      <c r="E103" s="157" t="str">
        <f t="shared" si="1"/>
        <v>#ERROR!</v>
      </c>
      <c r="F103" s="157" t="str">
        <f t="shared" si="2"/>
        <v>#ERROR!</v>
      </c>
      <c r="G103" s="162" t="str">
        <f t="shared" si="3"/>
        <v>#ERROR!</v>
      </c>
      <c r="H103" s="157"/>
      <c r="I103" s="157"/>
      <c r="J103" s="157"/>
      <c r="K103" s="157"/>
    </row>
    <row r="104" ht="15.75" hidden="1" customHeight="1">
      <c r="A104" s="157"/>
      <c r="B104" s="159" t="str">
        <f>TRVS!S77</f>
        <v>CM64</v>
      </c>
      <c r="C104" s="161" t="str">
        <f>TRVS!T77</f>
        <v>45995.864</v>
      </c>
      <c r="D104" s="161" t="str">
        <f>TRVS!U77</f>
        <v>210891.445</v>
      </c>
      <c r="E104" s="157" t="str">
        <f t="shared" si="1"/>
        <v>9698916069</v>
      </c>
      <c r="F104" s="157" t="str">
        <f t="shared" si="2"/>
        <v>9710443229</v>
      </c>
      <c r="G104" s="162" t="str">
        <f t="shared" si="3"/>
        <v>55.60</v>
      </c>
      <c r="H104" s="157"/>
      <c r="I104" s="157"/>
      <c r="J104" s="157"/>
      <c r="K104" s="157"/>
    </row>
    <row r="105" ht="15.75" hidden="1" customHeight="1">
      <c r="A105" s="157"/>
      <c r="B105" s="159" t="str">
        <f>TRVS!S78</f>
        <v>CM65</v>
      </c>
      <c r="C105" s="161" t="str">
        <f>TRVS!T78</f>
        <v>45946.528</v>
      </c>
      <c r="D105" s="161" t="str">
        <f>TRVS!U78</f>
        <v>210919.641</v>
      </c>
      <c r="E105" s="157" t="str">
        <f t="shared" si="1"/>
        <v>9689729683</v>
      </c>
      <c r="F105" s="157" t="str">
        <f t="shared" si="2"/>
        <v>9701431122</v>
      </c>
      <c r="G105" s="162" t="str">
        <f t="shared" si="3"/>
        <v>56.82</v>
      </c>
      <c r="H105" s="157"/>
      <c r="I105" s="157"/>
      <c r="J105" s="157"/>
      <c r="K105" s="157"/>
    </row>
    <row r="106" ht="15.75" hidden="1" customHeight="1">
      <c r="A106" s="157"/>
      <c r="B106" s="159" t="str">
        <f>TRVS!S79</f>
        <v>cm2</v>
      </c>
      <c r="C106" s="161" t="str">
        <f>TRVS!T79</f>
        <v>46162.990</v>
      </c>
      <c r="D106" s="161" t="str">
        <f>TRVS!U79</f>
        <v>210703.930</v>
      </c>
      <c r="E106" s="157" t="str">
        <f t="shared" si="1"/>
        <v>9736681278</v>
      </c>
      <c r="F106" s="157" t="str">
        <f t="shared" si="2"/>
        <v>9681114019</v>
      </c>
      <c r="G106" s="162" t="str">
        <f t="shared" si="3"/>
        <v>305.59</v>
      </c>
      <c r="H106" s="157"/>
      <c r="I106" s="157"/>
      <c r="J106" s="157"/>
      <c r="K106" s="157"/>
    </row>
    <row r="107" ht="15.75" hidden="1" customHeight="1">
      <c r="A107" s="157"/>
      <c r="B107" s="159"/>
      <c r="C107" s="161"/>
      <c r="D107" s="159"/>
      <c r="E107" s="160" t="str">
        <f t="shared" ref="E107:F107" si="4">SUM(E8:E106)</f>
        <v>#ERROR!</v>
      </c>
      <c r="F107" s="160" t="str">
        <f t="shared" si="4"/>
        <v>#ERROR!</v>
      </c>
      <c r="G107" s="160"/>
      <c r="H107" s="157"/>
      <c r="I107" s="157"/>
      <c r="J107" s="157"/>
      <c r="K107" s="157"/>
    </row>
    <row r="108" ht="15.75" hidden="1" customHeight="1">
      <c r="A108" s="157"/>
      <c r="B108" s="159" t="s">
        <v>152</v>
      </c>
      <c r="C108" s="161" t="str">
        <f>ABS((E107-F107)/20000)</f>
        <v>#ERROR!</v>
      </c>
      <c r="D108" s="159" t="s">
        <v>153</v>
      </c>
      <c r="E108" s="160"/>
      <c r="F108" s="160"/>
      <c r="G108" s="160"/>
      <c r="H108" s="157"/>
      <c r="I108" s="157"/>
      <c r="J108" s="157"/>
      <c r="K108" s="157"/>
    </row>
    <row r="109" ht="15.75" hidden="1" customHeight="1">
      <c r="A109" s="157"/>
      <c r="B109" s="159" t="s">
        <v>154</v>
      </c>
      <c r="C109" s="161" t="str">
        <f>2.471*C108</f>
        <v>#ERROR!</v>
      </c>
      <c r="D109" s="159" t="s">
        <v>155</v>
      </c>
      <c r="E109" s="160"/>
      <c r="F109" s="160"/>
      <c r="G109" s="160"/>
      <c r="H109" s="157"/>
      <c r="I109" s="157"/>
      <c r="J109" s="157"/>
      <c r="K109" s="157"/>
    </row>
    <row r="110" ht="15.75" hidden="1" customHeight="1">
      <c r="A110" s="157"/>
      <c r="B110" s="159"/>
      <c r="C110" s="161" t="str">
        <f>C109*100</f>
        <v>#ERROR!</v>
      </c>
      <c r="D110" s="159" t="s">
        <v>156</v>
      </c>
      <c r="E110" s="160"/>
      <c r="F110" s="160"/>
      <c r="G110" s="160"/>
      <c r="H110" s="157"/>
      <c r="I110" s="157"/>
      <c r="J110" s="157"/>
      <c r="K110" s="157"/>
    </row>
    <row r="111" ht="15.75" hidden="1" customHeight="1">
      <c r="A111" s="157"/>
      <c r="B111" s="159"/>
      <c r="C111" s="161"/>
      <c r="D111" s="159"/>
      <c r="E111" s="160"/>
      <c r="F111" s="160"/>
      <c r="G111" s="160"/>
      <c r="H111" s="157"/>
      <c r="I111" s="157"/>
      <c r="J111" s="157"/>
      <c r="K111" s="157"/>
    </row>
    <row r="112" ht="14.25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</row>
    <row r="113" ht="20.25" customHeight="1">
      <c r="A113" s="157"/>
      <c r="B113" s="157"/>
      <c r="C113" s="59" t="s">
        <v>157</v>
      </c>
      <c r="H113" s="157"/>
      <c r="I113" s="157"/>
      <c r="J113" s="157"/>
      <c r="K113" s="157"/>
    </row>
    <row r="114" ht="15.75" customHeight="1">
      <c r="A114" s="157"/>
      <c r="B114" s="157"/>
      <c r="C114" s="163"/>
      <c r="D114" s="163"/>
      <c r="E114" s="163"/>
      <c r="F114" s="163"/>
      <c r="G114" s="163"/>
      <c r="H114" s="157"/>
      <c r="I114" s="157"/>
      <c r="J114" s="157"/>
      <c r="K114" s="157"/>
    </row>
    <row r="115" ht="15.75" customHeight="1">
      <c r="A115" s="157"/>
      <c r="B115" s="157"/>
      <c r="C115" s="164" t="s">
        <v>158</v>
      </c>
      <c r="D115" s="62"/>
      <c r="E115" s="165"/>
      <c r="F115" s="166"/>
      <c r="G115" s="167"/>
      <c r="H115" s="168"/>
      <c r="I115" s="157"/>
      <c r="J115" s="157"/>
      <c r="K115" s="157"/>
    </row>
    <row r="116" ht="15.75" customHeight="1">
      <c r="A116" s="157"/>
      <c r="B116" s="157"/>
      <c r="C116" s="60" t="s">
        <v>41</v>
      </c>
      <c r="D116" s="169" t="s">
        <v>159</v>
      </c>
      <c r="E116" s="169" t="s">
        <v>160</v>
      </c>
      <c r="F116" s="60"/>
      <c r="G116" s="169" t="s">
        <v>161</v>
      </c>
      <c r="H116" s="168"/>
      <c r="I116" s="157"/>
      <c r="J116" s="157"/>
      <c r="K116" s="157"/>
    </row>
    <row r="117" ht="14.25" customHeight="1">
      <c r="A117" s="157"/>
      <c r="B117" s="157"/>
      <c r="C117" s="170"/>
      <c r="D117" s="171"/>
      <c r="E117" s="171"/>
      <c r="F117" s="170"/>
      <c r="G117" s="171"/>
      <c r="H117" s="168"/>
      <c r="I117" s="65"/>
      <c r="J117" s="157"/>
      <c r="K117" s="157"/>
    </row>
    <row r="118" ht="14.25" customHeight="1">
      <c r="A118" s="157"/>
      <c r="B118" s="157"/>
      <c r="C118" s="172" t="s">
        <v>44</v>
      </c>
      <c r="D118" s="172">
        <v>45895.954</v>
      </c>
      <c r="E118" s="172">
        <v>210949.513</v>
      </c>
      <c r="F118" s="170"/>
      <c r="G118" s="171"/>
      <c r="H118" s="168"/>
      <c r="I118" s="157"/>
      <c r="J118" s="157"/>
      <c r="K118" s="157"/>
    </row>
    <row r="119" ht="14.25" customHeight="1">
      <c r="A119" s="157"/>
      <c r="B119" s="157"/>
      <c r="C119" s="172" t="s">
        <v>45</v>
      </c>
      <c r="D119" s="172">
        <v>45877.617999999995</v>
      </c>
      <c r="E119" s="172">
        <v>210925.20500000002</v>
      </c>
      <c r="F119" s="170" t="str">
        <f t="shared" ref="F119:F185" si="5">D118*E119-D119*E118</f>
        <v>2752331.421</v>
      </c>
      <c r="G119" s="173" t="str">
        <f t="shared" ref="G119:G185" si="6">SQRT((D118-D119)^2+(E118-E119)^2)</f>
        <v>30.448</v>
      </c>
      <c r="H119" s="168"/>
      <c r="I119" s="157"/>
      <c r="J119" s="157"/>
      <c r="K119" s="157"/>
    </row>
    <row r="120" ht="14.25" customHeight="1">
      <c r="A120" s="157"/>
      <c r="B120" s="157"/>
      <c r="C120" s="172" t="s">
        <v>46</v>
      </c>
      <c r="D120" s="172">
        <v>45870.528999999995</v>
      </c>
      <c r="E120" s="172">
        <v>210920.108</v>
      </c>
      <c r="F120" s="170" t="str">
        <f t="shared" si="5"/>
        <v>1261410.559</v>
      </c>
      <c r="G120" s="173" t="str">
        <f t="shared" si="6"/>
        <v>8.731</v>
      </c>
      <c r="H120" s="168"/>
      <c r="I120" s="157"/>
      <c r="J120" s="157"/>
      <c r="K120" s="157"/>
    </row>
    <row r="121" ht="14.25" customHeight="1">
      <c r="A121" s="157"/>
      <c r="B121" s="157"/>
      <c r="C121" s="172" t="s">
        <v>47</v>
      </c>
      <c r="D121" s="172">
        <v>45832.708999999995</v>
      </c>
      <c r="E121" s="172">
        <v>210947.25</v>
      </c>
      <c r="F121" s="170" t="str">
        <f t="shared" si="5"/>
        <v>9222016.383</v>
      </c>
      <c r="G121" s="173" t="str">
        <f t="shared" si="6"/>
        <v>46.551</v>
      </c>
      <c r="H121" s="168"/>
      <c r="I121" s="157"/>
      <c r="J121" s="157"/>
      <c r="K121" s="157"/>
    </row>
    <row r="122" ht="14.25" customHeight="1">
      <c r="A122" s="157"/>
      <c r="B122" s="157"/>
      <c r="C122" s="172" t="s">
        <v>48</v>
      </c>
      <c r="D122" s="172">
        <v>45825.057</v>
      </c>
      <c r="E122" s="172">
        <v>210953.831</v>
      </c>
      <c r="F122" s="170" t="str">
        <f t="shared" si="5"/>
        <v>1915793.415</v>
      </c>
      <c r="G122" s="173" t="str">
        <f t="shared" si="6"/>
        <v>10.093</v>
      </c>
      <c r="H122" s="168"/>
      <c r="I122" s="157"/>
      <c r="J122" s="157"/>
      <c r="K122" s="157"/>
    </row>
    <row r="123" ht="14.25" customHeight="1">
      <c r="A123" s="157"/>
      <c r="B123" s="157"/>
      <c r="C123" s="172" t="s">
        <v>49</v>
      </c>
      <c r="D123" s="172">
        <v>45815.564</v>
      </c>
      <c r="E123" s="172">
        <v>210942.528</v>
      </c>
      <c r="F123" s="170" t="str">
        <f t="shared" si="5"/>
        <v>1484624.098</v>
      </c>
      <c r="G123" s="173" t="str">
        <f t="shared" si="6"/>
        <v>14.761</v>
      </c>
      <c r="H123" s="168"/>
      <c r="I123" s="157"/>
      <c r="J123" s="157"/>
      <c r="K123" s="157"/>
    </row>
    <row r="124" ht="14.25" customHeight="1">
      <c r="A124" s="157"/>
      <c r="B124" s="157"/>
      <c r="C124" s="172" t="s">
        <v>50</v>
      </c>
      <c r="D124" s="172">
        <v>45799.001</v>
      </c>
      <c r="E124" s="172">
        <v>210933.987</v>
      </c>
      <c r="F124" s="170" t="str">
        <f t="shared" si="5"/>
        <v>3102530.359</v>
      </c>
      <c r="G124" s="173" t="str">
        <f t="shared" si="6"/>
        <v>18.635</v>
      </c>
      <c r="H124" s="168"/>
      <c r="I124" s="157"/>
      <c r="J124" s="157"/>
      <c r="K124" s="157"/>
    </row>
    <row r="125" ht="14.25" customHeight="1">
      <c r="A125" s="157"/>
      <c r="B125" s="157"/>
      <c r="C125" s="172" t="s">
        <v>51</v>
      </c>
      <c r="D125" s="172">
        <v>45785.763</v>
      </c>
      <c r="E125" s="172">
        <v>210921.616</v>
      </c>
      <c r="F125" s="170" t="str">
        <f t="shared" si="5"/>
        <v>2225764.679</v>
      </c>
      <c r="G125" s="173" t="str">
        <f t="shared" si="6"/>
        <v>18.119</v>
      </c>
      <c r="H125" s="168"/>
      <c r="I125" s="157"/>
      <c r="J125" s="157"/>
      <c r="K125" s="157"/>
    </row>
    <row r="126" ht="14.25" customHeight="1">
      <c r="A126" s="157"/>
      <c r="B126" s="157"/>
      <c r="C126" s="172" t="s">
        <v>52</v>
      </c>
      <c r="D126" s="172">
        <v>45790.378</v>
      </c>
      <c r="E126" s="172">
        <v>210928.682</v>
      </c>
      <c r="F126" s="170" t="str">
        <f t="shared" si="5"/>
        <v>-649881.0565</v>
      </c>
      <c r="G126" s="173" t="str">
        <f t="shared" si="6"/>
        <v>8.440</v>
      </c>
      <c r="H126" s="168"/>
      <c r="I126" s="157"/>
      <c r="J126" s="157"/>
      <c r="K126" s="157"/>
    </row>
    <row r="127" ht="14.25" customHeight="1">
      <c r="A127" s="157"/>
      <c r="B127" s="157"/>
      <c r="C127" s="172" t="s">
        <v>53</v>
      </c>
      <c r="D127" s="172">
        <v>45805.106999999996</v>
      </c>
      <c r="E127" s="172">
        <v>210910.328</v>
      </c>
      <c r="F127" s="170" t="str">
        <f t="shared" si="5"/>
        <v>-3947205.155</v>
      </c>
      <c r="G127" s="173" t="str">
        <f t="shared" si="6"/>
        <v>23.533</v>
      </c>
      <c r="H127" s="168"/>
      <c r="I127" s="157"/>
      <c r="J127" s="157"/>
      <c r="K127" s="157"/>
    </row>
    <row r="128" ht="14.25" customHeight="1">
      <c r="A128" s="157"/>
      <c r="B128" s="157"/>
      <c r="C128" s="172" t="s">
        <v>54</v>
      </c>
      <c r="D128" s="172">
        <v>45794.092</v>
      </c>
      <c r="E128" s="172">
        <v>210899.829</v>
      </c>
      <c r="F128" s="170" t="str">
        <f t="shared" si="5"/>
        <v>1842269.445</v>
      </c>
      <c r="G128" s="173" t="str">
        <f t="shared" si="6"/>
        <v>15.217</v>
      </c>
      <c r="H128" s="168"/>
      <c r="I128" s="157"/>
      <c r="J128" s="157"/>
      <c r="K128" s="157"/>
    </row>
    <row r="129" ht="14.25" customHeight="1">
      <c r="A129" s="157"/>
      <c r="B129" s="157"/>
      <c r="C129" s="172" t="s">
        <v>55</v>
      </c>
      <c r="D129" s="172">
        <v>45788.358</v>
      </c>
      <c r="E129" s="172">
        <v>210887.158</v>
      </c>
      <c r="F129" s="170" t="str">
        <f t="shared" si="5"/>
        <v>629042.6798</v>
      </c>
      <c r="G129" s="173" t="str">
        <f t="shared" si="6"/>
        <v>13.908</v>
      </c>
      <c r="H129" s="168"/>
      <c r="I129" s="157"/>
      <c r="J129" s="157"/>
      <c r="K129" s="157"/>
    </row>
    <row r="130" ht="14.25" customHeight="1">
      <c r="A130" s="157"/>
      <c r="B130" s="157"/>
      <c r="C130" s="172" t="s">
        <v>56</v>
      </c>
      <c r="D130" s="172">
        <v>45774.261999999995</v>
      </c>
      <c r="E130" s="172">
        <v>210852.583</v>
      </c>
      <c r="F130" s="170" t="str">
        <f t="shared" si="5"/>
        <v>1389532.901</v>
      </c>
      <c r="G130" s="173" t="str">
        <f t="shared" si="6"/>
        <v>37.338</v>
      </c>
      <c r="H130" s="168"/>
      <c r="I130" s="157"/>
      <c r="J130" s="157"/>
      <c r="K130" s="157"/>
    </row>
    <row r="131" ht="14.25" customHeight="1">
      <c r="A131" s="157"/>
      <c r="B131" s="157"/>
      <c r="C131" s="172" t="s">
        <v>57</v>
      </c>
      <c r="D131" s="172">
        <v>45751.134</v>
      </c>
      <c r="E131" s="172">
        <v>210806.435</v>
      </c>
      <c r="F131" s="170" t="str">
        <f t="shared" si="5"/>
        <v>2764207.897</v>
      </c>
      <c r="G131" s="173" t="str">
        <f t="shared" si="6"/>
        <v>51.619</v>
      </c>
      <c r="H131" s="168"/>
      <c r="I131" s="157"/>
      <c r="J131" s="157"/>
      <c r="K131" s="157"/>
    </row>
    <row r="132" ht="14.25" customHeight="1">
      <c r="A132" s="157"/>
      <c r="B132" s="157"/>
      <c r="C132" s="172" t="s">
        <v>58</v>
      </c>
      <c r="D132" s="172">
        <v>45812.674</v>
      </c>
      <c r="E132" s="172">
        <v>210783.798</v>
      </c>
      <c r="F132" s="170" t="str">
        <f t="shared" si="5"/>
        <v>-14008696.43</v>
      </c>
      <c r="G132" s="173" t="str">
        <f t="shared" si="6"/>
        <v>65.571</v>
      </c>
      <c r="H132" s="168"/>
      <c r="I132" s="157"/>
      <c r="J132" s="157"/>
      <c r="K132" s="157"/>
    </row>
    <row r="133" ht="14.25" customHeight="1">
      <c r="A133" s="157"/>
      <c r="B133" s="157"/>
      <c r="C133" s="172" t="s">
        <v>59</v>
      </c>
      <c r="D133" s="172">
        <v>45772.979</v>
      </c>
      <c r="E133" s="172">
        <v>210561.217</v>
      </c>
      <c r="F133" s="170" t="str">
        <f t="shared" si="5"/>
        <v>-1829967.93</v>
      </c>
      <c r="G133" s="173" t="str">
        <f t="shared" si="6"/>
        <v>226.093</v>
      </c>
      <c r="H133" s="168"/>
      <c r="I133" s="157"/>
      <c r="J133" s="157"/>
      <c r="K133" s="157"/>
    </row>
    <row r="134" ht="14.25" customHeight="1">
      <c r="A134" s="157"/>
      <c r="B134" s="157"/>
      <c r="C134" s="172" t="s">
        <v>60</v>
      </c>
      <c r="D134" s="172">
        <v>45772.111</v>
      </c>
      <c r="E134" s="172">
        <v>210536.342</v>
      </c>
      <c r="F134" s="170" t="str">
        <f t="shared" si="5"/>
        <v>-955835.7163</v>
      </c>
      <c r="G134" s="173" t="str">
        <f t="shared" si="6"/>
        <v>24.890</v>
      </c>
      <c r="H134" s="168"/>
      <c r="I134" s="157"/>
      <c r="J134" s="157"/>
      <c r="K134" s="157"/>
    </row>
    <row r="135" ht="14.25" customHeight="1">
      <c r="A135" s="157"/>
      <c r="B135" s="157"/>
      <c r="C135" s="172" t="s">
        <v>61</v>
      </c>
      <c r="D135" s="172">
        <v>45785.731999999996</v>
      </c>
      <c r="E135" s="172">
        <v>210486.748</v>
      </c>
      <c r="F135" s="170" t="str">
        <f t="shared" si="5"/>
        <v>-5137737.587</v>
      </c>
      <c r="G135" s="173" t="str">
        <f t="shared" si="6"/>
        <v>51.431</v>
      </c>
      <c r="H135" s="168"/>
      <c r="I135" s="157"/>
      <c r="J135" s="157"/>
      <c r="K135" s="157"/>
    </row>
    <row r="136" ht="14.25" customHeight="1">
      <c r="A136" s="157"/>
      <c r="B136" s="157"/>
      <c r="C136" s="172" t="s">
        <v>62</v>
      </c>
      <c r="D136" s="172">
        <v>45756.138999999996</v>
      </c>
      <c r="E136" s="172">
        <v>210473.939</v>
      </c>
      <c r="F136" s="170" t="str">
        <f t="shared" si="5"/>
        <v>5642464.892</v>
      </c>
      <c r="G136" s="173" t="str">
        <f t="shared" si="6"/>
        <v>32.246</v>
      </c>
      <c r="H136" s="168"/>
      <c r="I136" s="157"/>
      <c r="J136" s="157"/>
      <c r="K136" s="157"/>
    </row>
    <row r="137" ht="14.25" customHeight="1">
      <c r="A137" s="157"/>
      <c r="B137" s="157"/>
      <c r="C137" s="172" t="s">
        <v>63</v>
      </c>
      <c r="D137" s="172">
        <v>45737.111</v>
      </c>
      <c r="E137" s="172">
        <v>210465.733</v>
      </c>
      <c r="F137" s="170" t="str">
        <f t="shared" si="5"/>
        <v>3629423.235</v>
      </c>
      <c r="G137" s="173" t="str">
        <f t="shared" si="6"/>
        <v>20.722</v>
      </c>
      <c r="H137" s="168"/>
      <c r="I137" s="157"/>
      <c r="J137" s="157"/>
      <c r="K137" s="157"/>
    </row>
    <row r="138" ht="14.25" customHeight="1">
      <c r="A138" s="157"/>
      <c r="B138" s="157"/>
      <c r="C138" s="172" t="s">
        <v>64</v>
      </c>
      <c r="D138" s="172">
        <v>45742.481999999996</v>
      </c>
      <c r="E138" s="172">
        <v>210406.828</v>
      </c>
      <c r="F138" s="170" t="str">
        <f t="shared" si="5"/>
        <v>-3824555.975</v>
      </c>
      <c r="G138" s="173" t="str">
        <f t="shared" si="6"/>
        <v>59.149</v>
      </c>
      <c r="H138" s="168"/>
      <c r="I138" s="157"/>
      <c r="J138" s="157"/>
      <c r="K138" s="157"/>
    </row>
    <row r="139" ht="14.25" customHeight="1">
      <c r="A139" s="157"/>
      <c r="B139" s="157"/>
      <c r="C139" s="172" t="s">
        <v>65</v>
      </c>
      <c r="D139" s="172">
        <v>45781.176999999996</v>
      </c>
      <c r="E139" s="172">
        <v>210412.141</v>
      </c>
      <c r="F139" s="170" t="str">
        <f t="shared" si="5"/>
        <v>-7898662.403</v>
      </c>
      <c r="G139" s="173" t="str">
        <f t="shared" si="6"/>
        <v>39.058</v>
      </c>
      <c r="H139" s="168"/>
      <c r="I139" s="157"/>
      <c r="J139" s="157"/>
      <c r="K139" s="157"/>
    </row>
    <row r="140" ht="14.25" customHeight="1">
      <c r="A140" s="157"/>
      <c r="B140" s="157"/>
      <c r="C140" s="172" t="s">
        <v>66</v>
      </c>
      <c r="D140" s="172">
        <v>45827.483</v>
      </c>
      <c r="E140" s="172">
        <v>210420.06</v>
      </c>
      <c r="F140" s="170" t="str">
        <f t="shared" si="5"/>
        <v>-9380803.46</v>
      </c>
      <c r="G140" s="173" t="str">
        <f t="shared" si="6"/>
        <v>46.978</v>
      </c>
      <c r="H140" s="168"/>
      <c r="I140" s="157"/>
      <c r="J140" s="157"/>
      <c r="K140" s="157"/>
    </row>
    <row r="141" ht="14.25" customHeight="1">
      <c r="A141" s="157"/>
      <c r="B141" s="157"/>
      <c r="C141" s="172" t="s">
        <v>67</v>
      </c>
      <c r="D141" s="172">
        <v>45829.379</v>
      </c>
      <c r="E141" s="172">
        <v>210426.103</v>
      </c>
      <c r="F141" s="170" t="str">
        <f t="shared" si="5"/>
        <v>-122020.954</v>
      </c>
      <c r="G141" s="173" t="str">
        <f t="shared" si="6"/>
        <v>6.333</v>
      </c>
      <c r="H141" s="168"/>
      <c r="I141" s="157"/>
      <c r="J141" s="157"/>
      <c r="K141" s="157"/>
    </row>
    <row r="142" ht="14.25" customHeight="1">
      <c r="A142" s="157"/>
      <c r="B142" s="157"/>
      <c r="C142" s="172" t="s">
        <v>68</v>
      </c>
      <c r="D142" s="172">
        <v>45836.362</v>
      </c>
      <c r="E142" s="172">
        <v>210438.057</v>
      </c>
      <c r="F142" s="170" t="str">
        <f t="shared" si="5"/>
        <v>-921561.0807</v>
      </c>
      <c r="G142" s="173" t="str">
        <f t="shared" si="6"/>
        <v>13.844</v>
      </c>
      <c r="H142" s="168"/>
      <c r="I142" s="157"/>
      <c r="J142" s="157"/>
      <c r="K142" s="157"/>
    </row>
    <row r="143" ht="14.25" customHeight="1">
      <c r="A143" s="157"/>
      <c r="B143" s="157"/>
      <c r="C143" s="172" t="s">
        <v>69</v>
      </c>
      <c r="D143" s="172">
        <v>45843.148</v>
      </c>
      <c r="E143" s="172">
        <v>210449.653</v>
      </c>
      <c r="F143" s="170" t="str">
        <f t="shared" si="5"/>
        <v>-896514.201</v>
      </c>
      <c r="G143" s="173" t="str">
        <f t="shared" si="6"/>
        <v>13.436</v>
      </c>
      <c r="H143" s="168"/>
      <c r="I143" s="157"/>
      <c r="J143" s="157"/>
      <c r="K143" s="157"/>
    </row>
    <row r="144" ht="14.25" customHeight="1">
      <c r="A144" s="157"/>
      <c r="B144" s="157"/>
      <c r="C144" s="172" t="s">
        <v>70</v>
      </c>
      <c r="D144" s="172">
        <v>45861.778</v>
      </c>
      <c r="E144" s="172">
        <v>210474.71600000001</v>
      </c>
      <c r="F144" s="170" t="str">
        <f t="shared" si="5"/>
        <v>-2771710.217</v>
      </c>
      <c r="G144" s="173" t="str">
        <f t="shared" si="6"/>
        <v>31.229</v>
      </c>
      <c r="H144" s="168"/>
      <c r="I144" s="157"/>
      <c r="J144" s="157"/>
      <c r="K144" s="157"/>
    </row>
    <row r="145" ht="14.25" customHeight="1">
      <c r="A145" s="157"/>
      <c r="B145" s="157"/>
      <c r="C145" s="172" t="s">
        <v>71</v>
      </c>
      <c r="D145" s="172">
        <v>45861.784999999996</v>
      </c>
      <c r="E145" s="172">
        <v>210474.719</v>
      </c>
      <c r="F145" s="170" t="str">
        <f t="shared" si="5"/>
        <v>-1335.737677</v>
      </c>
      <c r="G145" s="173" t="str">
        <f t="shared" si="6"/>
        <v>0.008</v>
      </c>
      <c r="H145" s="168"/>
      <c r="I145" s="157"/>
      <c r="J145" s="157"/>
      <c r="K145" s="157"/>
    </row>
    <row r="146" ht="14.25" customHeight="1">
      <c r="A146" s="157"/>
      <c r="B146" s="157"/>
      <c r="C146" s="172" t="s">
        <v>72</v>
      </c>
      <c r="D146" s="172">
        <v>45867.744</v>
      </c>
      <c r="E146" s="172">
        <v>210481.604</v>
      </c>
      <c r="F146" s="170" t="str">
        <f t="shared" si="5"/>
        <v>-938460.4608</v>
      </c>
      <c r="G146" s="173" t="str">
        <f t="shared" si="6"/>
        <v>9.106</v>
      </c>
      <c r="H146" s="168"/>
      <c r="I146" s="157"/>
      <c r="J146" s="157"/>
      <c r="K146" s="157"/>
    </row>
    <row r="147" ht="14.25" customHeight="1">
      <c r="A147" s="157"/>
      <c r="B147" s="157"/>
      <c r="C147" s="172" t="s">
        <v>73</v>
      </c>
      <c r="D147" s="172">
        <v>45892.216</v>
      </c>
      <c r="E147" s="172">
        <v>210512.366</v>
      </c>
      <c r="F147" s="170" t="str">
        <f t="shared" si="5"/>
        <v>-3739922.272</v>
      </c>
      <c r="G147" s="173" t="str">
        <f t="shared" si="6"/>
        <v>39.309</v>
      </c>
      <c r="H147" s="168"/>
      <c r="I147" s="157"/>
      <c r="J147" s="157"/>
      <c r="K147" s="157"/>
    </row>
    <row r="148" ht="14.25" customHeight="1">
      <c r="A148" s="157"/>
      <c r="B148" s="157"/>
      <c r="C148" s="172" t="s">
        <v>74</v>
      </c>
      <c r="D148" s="172">
        <v>45902.854999999996</v>
      </c>
      <c r="E148" s="172">
        <v>210527.727</v>
      </c>
      <c r="F148" s="170" t="str">
        <f t="shared" si="5"/>
        <v>-1534690.732</v>
      </c>
      <c r="G148" s="173" t="str">
        <f t="shared" si="6"/>
        <v>18.686</v>
      </c>
      <c r="H148" s="168"/>
      <c r="I148" s="157"/>
      <c r="J148" s="157"/>
      <c r="K148" s="157"/>
    </row>
    <row r="149" ht="14.25" customHeight="1">
      <c r="A149" s="157"/>
      <c r="B149" s="157"/>
      <c r="C149" s="172" t="s">
        <v>75</v>
      </c>
      <c r="D149" s="172">
        <v>45930.133</v>
      </c>
      <c r="E149" s="172">
        <v>210555.57200000001</v>
      </c>
      <c r="F149" s="170" t="str">
        <f t="shared" si="5"/>
        <v>-4464610.34</v>
      </c>
      <c r="G149" s="173" t="str">
        <f t="shared" si="6"/>
        <v>38.980</v>
      </c>
      <c r="H149" s="168"/>
      <c r="I149" s="157"/>
      <c r="J149" s="157"/>
      <c r="K149" s="157"/>
    </row>
    <row r="150" ht="14.25" customHeight="1">
      <c r="A150" s="157"/>
      <c r="B150" s="157"/>
      <c r="C150" s="172" t="s">
        <v>76</v>
      </c>
      <c r="D150" s="172">
        <v>45948.481999999996</v>
      </c>
      <c r="E150" s="172">
        <v>210538.112</v>
      </c>
      <c r="F150" s="170" t="str">
        <f t="shared" si="5"/>
        <v>-4665424.313</v>
      </c>
      <c r="G150" s="173" t="str">
        <f t="shared" si="6"/>
        <v>25.329</v>
      </c>
      <c r="H150" s="168"/>
      <c r="I150" s="157"/>
      <c r="J150" s="157"/>
      <c r="K150" s="157"/>
    </row>
    <row r="151" ht="14.25" customHeight="1">
      <c r="A151" s="157"/>
      <c r="B151" s="157"/>
      <c r="C151" s="172" t="s">
        <v>77</v>
      </c>
      <c r="D151" s="172">
        <v>45963.792</v>
      </c>
      <c r="E151" s="172">
        <v>210549.482</v>
      </c>
      <c r="F151" s="170" t="str">
        <f t="shared" si="5"/>
        <v>-2700904.254</v>
      </c>
      <c r="G151" s="173" t="str">
        <f t="shared" si="6"/>
        <v>19.070</v>
      </c>
      <c r="H151" s="168"/>
      <c r="I151" s="157"/>
      <c r="J151" s="157"/>
      <c r="K151" s="157"/>
    </row>
    <row r="152" ht="14.25" customHeight="1">
      <c r="A152" s="157"/>
      <c r="B152" s="157"/>
      <c r="C152" s="172" t="s">
        <v>78</v>
      </c>
      <c r="D152" s="172">
        <v>45995.842</v>
      </c>
      <c r="E152" s="172">
        <v>210507.781</v>
      </c>
      <c r="F152" s="170" t="str">
        <f t="shared" si="5"/>
        <v>-8664846.988</v>
      </c>
      <c r="G152" s="173" t="str">
        <f t="shared" si="6"/>
        <v>52.594</v>
      </c>
      <c r="H152" s="168"/>
      <c r="I152" s="157"/>
      <c r="J152" s="157"/>
      <c r="K152" s="157"/>
    </row>
    <row r="153" ht="14.25" customHeight="1">
      <c r="A153" s="157"/>
      <c r="B153" s="157"/>
      <c r="C153" s="172" t="s">
        <v>79</v>
      </c>
      <c r="D153" s="172">
        <v>46000.032</v>
      </c>
      <c r="E153" s="172">
        <v>210503.247</v>
      </c>
      <c r="F153" s="170" t="str">
        <f t="shared" si="5"/>
        <v>-1090572.75</v>
      </c>
      <c r="G153" s="173" t="str">
        <f t="shared" si="6"/>
        <v>6.174</v>
      </c>
      <c r="H153" s="168"/>
      <c r="I153" s="157"/>
      <c r="J153" s="157"/>
      <c r="K153" s="157"/>
    </row>
    <row r="154" ht="14.25" customHeight="1">
      <c r="A154" s="157"/>
      <c r="B154" s="157"/>
      <c r="C154" s="172" t="s">
        <v>80</v>
      </c>
      <c r="D154" s="172">
        <v>46016.530999999995</v>
      </c>
      <c r="E154" s="172">
        <v>210493.509</v>
      </c>
      <c r="F154" s="170" t="str">
        <f t="shared" si="5"/>
        <v>-3921041.384</v>
      </c>
      <c r="G154" s="173" t="str">
        <f t="shared" si="6"/>
        <v>19.158</v>
      </c>
      <c r="H154" s="168"/>
      <c r="I154" s="157"/>
      <c r="J154" s="157"/>
      <c r="K154" s="157"/>
    </row>
    <row r="155" ht="14.25" customHeight="1">
      <c r="A155" s="157"/>
      <c r="B155" s="157"/>
      <c r="C155" s="172" t="s">
        <v>81</v>
      </c>
      <c r="D155" s="172">
        <v>46031.441</v>
      </c>
      <c r="E155" s="172">
        <v>210473.877</v>
      </c>
      <c r="F155" s="170" t="str">
        <f t="shared" si="5"/>
        <v>-4041854.756</v>
      </c>
      <c r="G155" s="173" t="str">
        <f t="shared" si="6"/>
        <v>24.652</v>
      </c>
      <c r="H155" s="168"/>
      <c r="I155" s="157"/>
      <c r="J155" s="157"/>
      <c r="K155" s="157"/>
    </row>
    <row r="156" ht="14.25" customHeight="1">
      <c r="A156" s="157"/>
      <c r="B156" s="157"/>
      <c r="C156" s="172" t="s">
        <v>82</v>
      </c>
      <c r="D156" s="172">
        <v>46052.759</v>
      </c>
      <c r="E156" s="172">
        <v>210490.987</v>
      </c>
      <c r="F156" s="170" t="str">
        <f t="shared" si="5"/>
        <v>-3699284.154</v>
      </c>
      <c r="G156" s="173" t="str">
        <f t="shared" si="6"/>
        <v>27.335</v>
      </c>
      <c r="H156" s="168"/>
      <c r="I156" s="157"/>
      <c r="J156" s="157"/>
      <c r="K156" s="157"/>
    </row>
    <row r="157" ht="14.25" customHeight="1">
      <c r="A157" s="157"/>
      <c r="B157" s="157"/>
      <c r="C157" s="172" t="s">
        <v>83</v>
      </c>
      <c r="D157" s="172">
        <v>46071.056</v>
      </c>
      <c r="E157" s="172">
        <v>210505.385</v>
      </c>
      <c r="F157" s="170" t="str">
        <f t="shared" si="5"/>
        <v>-3188285.965</v>
      </c>
      <c r="G157" s="173" t="str">
        <f t="shared" si="6"/>
        <v>23.283</v>
      </c>
      <c r="H157" s="168"/>
      <c r="I157" s="157"/>
      <c r="J157" s="157"/>
      <c r="K157" s="157"/>
    </row>
    <row r="158" ht="14.25" customHeight="1">
      <c r="A158" s="157"/>
      <c r="B158" s="157"/>
      <c r="C158" s="172" t="s">
        <v>84</v>
      </c>
      <c r="D158" s="172">
        <v>46092.64</v>
      </c>
      <c r="E158" s="172">
        <v>210520.3</v>
      </c>
      <c r="F158" s="170" t="str">
        <f t="shared" si="5"/>
        <v>-3856398.43</v>
      </c>
      <c r="G158" s="173" t="str">
        <f t="shared" si="6"/>
        <v>26.236</v>
      </c>
      <c r="H158" s="168"/>
      <c r="I158" s="157"/>
      <c r="J158" s="157"/>
      <c r="K158" s="157"/>
    </row>
    <row r="159" ht="14.25" customHeight="1">
      <c r="A159" s="157"/>
      <c r="B159" s="157"/>
      <c r="C159" s="172" t="s">
        <v>85</v>
      </c>
      <c r="D159" s="172">
        <v>46102.305</v>
      </c>
      <c r="E159" s="172">
        <v>210512.741</v>
      </c>
      <c r="F159" s="170" t="str">
        <f t="shared" si="5"/>
        <v>-2383092.965</v>
      </c>
      <c r="G159" s="173" t="str">
        <f t="shared" si="6"/>
        <v>12.270</v>
      </c>
      <c r="H159" s="168"/>
      <c r="I159" s="157"/>
      <c r="J159" s="157"/>
      <c r="K159" s="157"/>
    </row>
    <row r="160" ht="14.25" customHeight="1">
      <c r="A160" s="157"/>
      <c r="B160" s="157"/>
      <c r="C160" s="172" t="s">
        <v>86</v>
      </c>
      <c r="D160" s="172">
        <v>46078.676</v>
      </c>
      <c r="E160" s="172">
        <v>210495.055</v>
      </c>
      <c r="F160" s="170" t="str">
        <f t="shared" si="5"/>
        <v>4158840.191</v>
      </c>
      <c r="G160" s="173" t="str">
        <f t="shared" si="6"/>
        <v>29.515</v>
      </c>
      <c r="H160" s="168"/>
      <c r="I160" s="157"/>
      <c r="J160" s="157"/>
      <c r="K160" s="157"/>
    </row>
    <row r="161" ht="14.25" customHeight="1">
      <c r="A161" s="157"/>
      <c r="B161" s="157"/>
      <c r="C161" s="172" t="s">
        <v>87</v>
      </c>
      <c r="D161" s="172">
        <v>46098.786</v>
      </c>
      <c r="E161" s="172">
        <v>210473.31100000002</v>
      </c>
      <c r="F161" s="170" t="str">
        <f t="shared" si="5"/>
        <v>-5234990.287</v>
      </c>
      <c r="G161" s="173" t="str">
        <f t="shared" si="6"/>
        <v>29.618</v>
      </c>
      <c r="H161" s="168"/>
      <c r="I161" s="157"/>
      <c r="J161" s="157"/>
      <c r="K161" s="157"/>
    </row>
    <row r="162" ht="14.25" customHeight="1">
      <c r="A162" s="157"/>
      <c r="B162" s="157"/>
      <c r="C162" s="172" t="s">
        <v>88</v>
      </c>
      <c r="D162" s="172">
        <v>46099.693</v>
      </c>
      <c r="E162" s="172">
        <v>210473.94</v>
      </c>
      <c r="F162" s="170" t="str">
        <f t="shared" si="5"/>
        <v>-161903.1567</v>
      </c>
      <c r="G162" s="173" t="str">
        <f t="shared" si="6"/>
        <v>1.104</v>
      </c>
      <c r="H162" s="168"/>
      <c r="I162" s="157"/>
      <c r="J162" s="157"/>
      <c r="K162" s="157"/>
    </row>
    <row r="163" ht="14.25" customHeight="1">
      <c r="A163" s="157"/>
      <c r="B163" s="157"/>
      <c r="C163" s="172" t="s">
        <v>89</v>
      </c>
      <c r="D163" s="172">
        <v>46109.742</v>
      </c>
      <c r="E163" s="172">
        <v>210456.958</v>
      </c>
      <c r="F163" s="170" t="str">
        <f t="shared" si="5"/>
        <v>-2897917.61</v>
      </c>
      <c r="G163" s="173" t="str">
        <f t="shared" si="6"/>
        <v>19.732</v>
      </c>
      <c r="H163" s="168"/>
      <c r="I163" s="157"/>
      <c r="J163" s="157"/>
      <c r="K163" s="157"/>
    </row>
    <row r="164" ht="14.25" customHeight="1">
      <c r="A164" s="157"/>
      <c r="B164" s="157"/>
      <c r="C164" s="172" t="s">
        <v>90</v>
      </c>
      <c r="D164" s="172">
        <v>46117.554</v>
      </c>
      <c r="E164" s="172">
        <v>210446.169</v>
      </c>
      <c r="F164" s="170" t="str">
        <f t="shared" si="5"/>
        <v>-2141567.762</v>
      </c>
      <c r="G164" s="173" t="str">
        <f t="shared" si="6"/>
        <v>13.320</v>
      </c>
      <c r="H164" s="168"/>
      <c r="I164" s="157"/>
      <c r="J164" s="157"/>
      <c r="K164" s="157"/>
    </row>
    <row r="165" ht="14.25" customHeight="1">
      <c r="A165" s="157"/>
      <c r="B165" s="157"/>
      <c r="C165" s="172" t="s">
        <v>91</v>
      </c>
      <c r="D165" s="172">
        <v>46125.323</v>
      </c>
      <c r="E165" s="172">
        <v>210437.83000000002</v>
      </c>
      <c r="F165" s="170" t="str">
        <f t="shared" si="5"/>
        <v>-2019530.57</v>
      </c>
      <c r="G165" s="173" t="str">
        <f t="shared" si="6"/>
        <v>11.397</v>
      </c>
      <c r="H165" s="168"/>
      <c r="I165" s="157"/>
      <c r="J165" s="157"/>
      <c r="K165" s="157"/>
    </row>
    <row r="166" ht="14.25" customHeight="1">
      <c r="A166" s="157"/>
      <c r="B166" s="157"/>
      <c r="C166" s="172" t="s">
        <v>92</v>
      </c>
      <c r="D166" s="172">
        <v>46133.871</v>
      </c>
      <c r="E166" s="172">
        <v>210445.914</v>
      </c>
      <c r="F166" s="170" t="str">
        <f t="shared" si="5"/>
        <v>-1425945.46</v>
      </c>
      <c r="G166" s="173" t="str">
        <f t="shared" si="6"/>
        <v>11.765</v>
      </c>
      <c r="H166" s="168"/>
      <c r="I166" s="157"/>
      <c r="J166" s="157"/>
      <c r="K166" s="157"/>
    </row>
    <row r="167" ht="14.25" customHeight="1">
      <c r="A167" s="157"/>
      <c r="B167" s="157"/>
      <c r="C167" s="172" t="s">
        <v>93</v>
      </c>
      <c r="D167" s="172">
        <v>46160.376</v>
      </c>
      <c r="E167" s="172">
        <v>210476.087</v>
      </c>
      <c r="F167" s="170" t="str">
        <f t="shared" si="5"/>
        <v>-4185871.661</v>
      </c>
      <c r="G167" s="173" t="str">
        <f t="shared" si="6"/>
        <v>40.161</v>
      </c>
      <c r="H167" s="168"/>
      <c r="I167" s="157"/>
      <c r="J167" s="157"/>
      <c r="K167" s="157"/>
    </row>
    <row r="168" ht="14.25" customHeight="1">
      <c r="A168" s="157"/>
      <c r="B168" s="157"/>
      <c r="C168" s="172" t="s">
        <v>94</v>
      </c>
      <c r="D168" s="172">
        <v>46152.216</v>
      </c>
      <c r="E168" s="172">
        <v>210479.744</v>
      </c>
      <c r="F168" s="170" t="str">
        <f t="shared" si="5"/>
        <v>1886293.365</v>
      </c>
      <c r="G168" s="173" t="str">
        <f t="shared" si="6"/>
        <v>8.942</v>
      </c>
      <c r="H168" s="168"/>
      <c r="I168" s="157"/>
      <c r="J168" s="157"/>
      <c r="K168" s="157"/>
    </row>
    <row r="169" ht="14.25" customHeight="1">
      <c r="A169" s="157"/>
      <c r="B169" s="157"/>
      <c r="C169" s="172" t="s">
        <v>95</v>
      </c>
      <c r="D169" s="172">
        <v>46135.839</v>
      </c>
      <c r="E169" s="172">
        <v>210492.333</v>
      </c>
      <c r="F169" s="170" t="str">
        <f t="shared" si="5"/>
        <v>4028037.015</v>
      </c>
      <c r="G169" s="173" t="str">
        <f t="shared" si="6"/>
        <v>20.656</v>
      </c>
      <c r="H169" s="168"/>
      <c r="I169" s="157"/>
      <c r="J169" s="157"/>
      <c r="K169" s="157"/>
    </row>
    <row r="170" ht="14.25" customHeight="1">
      <c r="A170" s="157"/>
      <c r="B170" s="157"/>
      <c r="C170" s="172" t="s">
        <v>96</v>
      </c>
      <c r="D170" s="172">
        <v>46100.916</v>
      </c>
      <c r="E170" s="172">
        <v>210519.376</v>
      </c>
      <c r="F170" s="170" t="str">
        <f t="shared" si="5"/>
        <v>8598675.239</v>
      </c>
      <c r="G170" s="173" t="str">
        <f t="shared" si="6"/>
        <v>44.169</v>
      </c>
      <c r="H170" s="168"/>
      <c r="I170" s="157"/>
      <c r="J170" s="157"/>
      <c r="K170" s="157"/>
    </row>
    <row r="171" ht="14.25" customHeight="1">
      <c r="A171" s="157"/>
      <c r="B171" s="157"/>
      <c r="C171" s="172" t="s">
        <v>97</v>
      </c>
      <c r="D171" s="172">
        <v>46077.344</v>
      </c>
      <c r="E171" s="172">
        <v>210537.256</v>
      </c>
      <c r="F171" s="170" t="str">
        <f t="shared" si="5"/>
        <v>5786647.109</v>
      </c>
      <c r="G171" s="173" t="str">
        <f t="shared" si="6"/>
        <v>29.586</v>
      </c>
      <c r="H171" s="168"/>
      <c r="I171" s="157"/>
      <c r="J171" s="157"/>
      <c r="K171" s="157"/>
    </row>
    <row r="172" ht="14.25" customHeight="1">
      <c r="A172" s="157"/>
      <c r="B172" s="157"/>
      <c r="C172" s="172" t="s">
        <v>98</v>
      </c>
      <c r="D172" s="172">
        <v>46080.71</v>
      </c>
      <c r="E172" s="172">
        <v>210541.656</v>
      </c>
      <c r="F172" s="170" t="str">
        <f t="shared" si="5"/>
        <v>-505928.0901</v>
      </c>
      <c r="G172" s="173" t="str">
        <f t="shared" si="6"/>
        <v>5.540</v>
      </c>
      <c r="H172" s="168"/>
      <c r="I172" s="157"/>
      <c r="J172" s="157"/>
      <c r="K172" s="157"/>
    </row>
    <row r="173" ht="14.25" customHeight="1">
      <c r="A173" s="157"/>
      <c r="B173" s="157"/>
      <c r="C173" s="172" t="s">
        <v>99</v>
      </c>
      <c r="D173" s="172">
        <v>46057.81</v>
      </c>
      <c r="E173" s="172">
        <v>210565.32</v>
      </c>
      <c r="F173" s="170" t="str">
        <f t="shared" si="5"/>
        <v>5911857.844</v>
      </c>
      <c r="G173" s="173" t="str">
        <f t="shared" si="6"/>
        <v>32.930</v>
      </c>
      <c r="H173" s="168"/>
      <c r="I173" s="157"/>
      <c r="J173" s="157"/>
      <c r="K173" s="157"/>
    </row>
    <row r="174" ht="14.25" customHeight="1">
      <c r="A174" s="157"/>
      <c r="B174" s="157"/>
      <c r="C174" s="172" t="s">
        <v>100</v>
      </c>
      <c r="D174" s="172">
        <v>46042.246999999996</v>
      </c>
      <c r="E174" s="172">
        <v>210565.786</v>
      </c>
      <c r="F174" s="170" t="str">
        <f t="shared" si="5"/>
        <v>3298491.015</v>
      </c>
      <c r="G174" s="173" t="str">
        <f t="shared" si="6"/>
        <v>15.570</v>
      </c>
      <c r="H174" s="168"/>
      <c r="I174" s="157"/>
      <c r="J174" s="157"/>
      <c r="K174" s="157"/>
    </row>
    <row r="175" ht="14.25" customHeight="1">
      <c r="A175" s="157"/>
      <c r="B175" s="157"/>
      <c r="C175" s="172" t="s">
        <v>101</v>
      </c>
      <c r="D175" s="172">
        <v>45986.987</v>
      </c>
      <c r="E175" s="172">
        <v>210528.326</v>
      </c>
      <c r="F175" s="170" t="str">
        <f t="shared" si="5"/>
        <v>9911122.762</v>
      </c>
      <c r="G175" s="173" t="str">
        <f t="shared" si="6"/>
        <v>66.760</v>
      </c>
      <c r="H175" s="168"/>
      <c r="I175" s="157"/>
      <c r="J175" s="157"/>
      <c r="K175" s="157"/>
    </row>
    <row r="176" ht="14.25" customHeight="1">
      <c r="A176" s="157"/>
      <c r="B176" s="157"/>
      <c r="C176" s="172" t="s">
        <v>102</v>
      </c>
      <c r="D176" s="172">
        <v>45966.17</v>
      </c>
      <c r="E176" s="172">
        <v>210555.92</v>
      </c>
      <c r="F176" s="170" t="str">
        <f t="shared" si="5"/>
        <v>5651533.082</v>
      </c>
      <c r="G176" s="173" t="str">
        <f t="shared" si="6"/>
        <v>34.566</v>
      </c>
      <c r="H176" s="168"/>
      <c r="I176" s="157"/>
      <c r="J176" s="157"/>
      <c r="K176" s="157"/>
    </row>
    <row r="177" ht="14.25" customHeight="1">
      <c r="A177" s="157"/>
      <c r="B177" s="157"/>
      <c r="C177" s="172" t="s">
        <v>103</v>
      </c>
      <c r="D177" s="172">
        <v>45953.320999999996</v>
      </c>
      <c r="E177" s="172">
        <v>210580.352</v>
      </c>
      <c r="F177" s="170" t="str">
        <f t="shared" si="5"/>
        <v>3828478.482</v>
      </c>
      <c r="G177" s="173" t="str">
        <f t="shared" si="6"/>
        <v>27.605</v>
      </c>
      <c r="H177" s="168"/>
      <c r="I177" s="157"/>
      <c r="J177" s="157"/>
      <c r="K177" s="157"/>
    </row>
    <row r="178" ht="14.25" customHeight="1">
      <c r="A178" s="157"/>
      <c r="B178" s="157"/>
      <c r="C178" s="172" t="s">
        <v>104</v>
      </c>
      <c r="D178" s="172">
        <v>46007.415</v>
      </c>
      <c r="E178" s="172">
        <v>210639.457</v>
      </c>
      <c r="F178" s="170" t="str">
        <f t="shared" si="5"/>
        <v>-8675062.523</v>
      </c>
      <c r="G178" s="173" t="str">
        <f t="shared" si="6"/>
        <v>80.122</v>
      </c>
      <c r="H178" s="168"/>
      <c r="I178" s="157"/>
      <c r="J178" s="157"/>
      <c r="K178" s="157"/>
    </row>
    <row r="179" ht="14.25" customHeight="1">
      <c r="A179" s="157"/>
      <c r="B179" s="157"/>
      <c r="C179" s="172" t="s">
        <v>105</v>
      </c>
      <c r="D179" s="172">
        <v>46084.884</v>
      </c>
      <c r="E179" s="172">
        <v>210729.415</v>
      </c>
      <c r="F179" s="170" t="str">
        <f t="shared" si="5"/>
        <v>-12179293.06</v>
      </c>
      <c r="G179" s="173" t="str">
        <f t="shared" si="6"/>
        <v>118.718</v>
      </c>
      <c r="H179" s="168"/>
      <c r="I179" s="157"/>
      <c r="J179" s="157"/>
      <c r="K179" s="157"/>
    </row>
    <row r="180" ht="14.25" customHeight="1">
      <c r="A180" s="157"/>
      <c r="B180" s="157"/>
      <c r="C180" s="172" t="s">
        <v>106</v>
      </c>
      <c r="D180" s="172">
        <v>46123.233</v>
      </c>
      <c r="E180" s="172">
        <v>210778.556</v>
      </c>
      <c r="F180" s="170" t="str">
        <f t="shared" si="5"/>
        <v>-5816605.051</v>
      </c>
      <c r="G180" s="173" t="str">
        <f t="shared" si="6"/>
        <v>62.334</v>
      </c>
      <c r="H180" s="168"/>
      <c r="I180" s="157"/>
      <c r="J180" s="157"/>
      <c r="K180" s="157"/>
    </row>
    <row r="181" ht="14.25" customHeight="1">
      <c r="A181" s="157"/>
      <c r="B181" s="157"/>
      <c r="C181" s="172" t="s">
        <v>107</v>
      </c>
      <c r="D181" s="172">
        <v>46145.106999999996</v>
      </c>
      <c r="E181" s="172">
        <v>210812.512</v>
      </c>
      <c r="F181" s="170" t="str">
        <f t="shared" si="5"/>
        <v>-3044409.634</v>
      </c>
      <c r="G181" s="173" t="str">
        <f t="shared" si="6"/>
        <v>40.392</v>
      </c>
      <c r="H181" s="168"/>
      <c r="I181" s="157"/>
      <c r="J181" s="157"/>
      <c r="K181" s="157"/>
    </row>
    <row r="182" ht="14.25" customHeight="1">
      <c r="A182" s="157"/>
      <c r="B182" s="157"/>
      <c r="C182" s="172" t="s">
        <v>108</v>
      </c>
      <c r="D182" s="172">
        <v>46044.746999999996</v>
      </c>
      <c r="E182" s="172">
        <v>210864.961</v>
      </c>
      <c r="F182" s="170" t="str">
        <f t="shared" si="5"/>
        <v>23577408.42</v>
      </c>
      <c r="G182" s="173" t="str">
        <f t="shared" si="6"/>
        <v>113.239</v>
      </c>
      <c r="H182" s="168"/>
      <c r="I182" s="157"/>
      <c r="J182" s="157"/>
      <c r="K182" s="157"/>
    </row>
    <row r="183" ht="14.25" customHeight="1">
      <c r="A183" s="157"/>
      <c r="B183" s="157"/>
      <c r="C183" s="172" t="s">
        <v>109</v>
      </c>
      <c r="D183" s="172">
        <v>45995.864</v>
      </c>
      <c r="E183" s="172">
        <v>210891.445</v>
      </c>
      <c r="F183" s="170" t="str">
        <f t="shared" si="5"/>
        <v>11527160.97</v>
      </c>
      <c r="G183" s="173" t="str">
        <f t="shared" si="6"/>
        <v>55.596</v>
      </c>
      <c r="H183" s="168"/>
      <c r="I183" s="157"/>
      <c r="J183" s="157"/>
      <c r="K183" s="157"/>
    </row>
    <row r="184" ht="14.25" customHeight="1">
      <c r="A184" s="157"/>
      <c r="B184" s="157"/>
      <c r="C184" s="172" t="s">
        <v>110</v>
      </c>
      <c r="D184" s="172">
        <v>45946.528</v>
      </c>
      <c r="E184" s="172">
        <v>210919.641</v>
      </c>
      <c r="F184" s="170" t="str">
        <f t="shared" si="5"/>
        <v>11701439.71</v>
      </c>
      <c r="G184" s="173" t="str">
        <f t="shared" si="6"/>
        <v>56.825</v>
      </c>
      <c r="H184" s="168"/>
      <c r="I184" s="157"/>
      <c r="J184" s="157"/>
      <c r="K184" s="157"/>
    </row>
    <row r="185" ht="14.25" customHeight="1">
      <c r="A185" s="157"/>
      <c r="B185" s="157"/>
      <c r="C185" s="172" t="s">
        <v>44</v>
      </c>
      <c r="D185" s="172">
        <v>45895.954</v>
      </c>
      <c r="E185" s="172">
        <v>210949.513</v>
      </c>
      <c r="F185" s="170" t="str">
        <f t="shared" si="5"/>
        <v>12039564.61</v>
      </c>
      <c r="G185" s="173" t="str">
        <f t="shared" si="6"/>
        <v>58.737</v>
      </c>
      <c r="H185" s="168"/>
      <c r="I185" s="157"/>
      <c r="J185" s="157"/>
      <c r="K185" s="157"/>
    </row>
    <row r="186" ht="14.25" customHeight="1">
      <c r="A186" s="157"/>
      <c r="B186" s="157"/>
      <c r="C186" s="170"/>
      <c r="D186" s="171"/>
      <c r="E186" s="171"/>
      <c r="F186" s="170"/>
      <c r="G186" s="171"/>
      <c r="H186" s="168"/>
      <c r="I186" s="157"/>
      <c r="J186" s="157"/>
      <c r="K186" s="157"/>
    </row>
    <row r="187" ht="15.75" customHeight="1">
      <c r="A187" s="157"/>
      <c r="B187" s="157"/>
      <c r="C187" s="170"/>
      <c r="D187" s="171"/>
      <c r="E187" s="174" t="str">
        <f>-ROUND(((-1*(SUM(F119:F185))/20000)),3)</f>
        <v>12.103</v>
      </c>
      <c r="F187" s="175"/>
      <c r="G187" s="176" t="s">
        <v>162</v>
      </c>
      <c r="H187" s="168"/>
      <c r="I187" s="157"/>
      <c r="J187" s="157"/>
      <c r="K187" s="157"/>
    </row>
    <row r="188" ht="15.75" customHeight="1">
      <c r="A188" s="157"/>
      <c r="B188" s="157"/>
      <c r="C188" s="170"/>
      <c r="D188" s="171"/>
      <c r="E188" s="174" t="str">
        <f>-ROUND(((-1*(SUM(F119:F185))/2)/4046.9),3)</f>
        <v>29.907</v>
      </c>
      <c r="F188" s="175"/>
      <c r="G188" s="176" t="s">
        <v>163</v>
      </c>
      <c r="H188" s="168"/>
      <c r="I188" s="157"/>
      <c r="J188" s="157"/>
      <c r="K188" s="157"/>
    </row>
    <row r="189" ht="14.25" customHeight="1">
      <c r="A189" s="157"/>
      <c r="B189" s="157"/>
      <c r="C189" s="168"/>
      <c r="D189" s="177"/>
      <c r="E189" s="177"/>
      <c r="F189" s="168"/>
      <c r="G189" s="177" t="s">
        <v>164</v>
      </c>
      <c r="H189" s="168"/>
      <c r="I189" s="157"/>
      <c r="J189" s="157"/>
      <c r="K189" s="157"/>
    </row>
  </sheetData>
  <mergeCells count="3">
    <mergeCell ref="C2:D2"/>
    <mergeCell ref="C113:G113"/>
    <mergeCell ref="C115:D115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TOC's</vt:lpstr>
      <vt:lpstr>Job History</vt:lpstr>
      <vt:lpstr>INDEX</vt:lpstr>
      <vt:lpstr>ABSTRACT</vt:lpstr>
      <vt:lpstr>DTM</vt:lpstr>
      <vt:lpstr>Field notes</vt:lpstr>
      <vt:lpstr>TRVS</vt:lpstr>
      <vt:lpstr>AREA</vt:lpstr>
    </vt:vector>
  </TitlesOfParts>
  <LinksUpToDate>false</LinksUpToDate>
  <SharedDoc>false</SharedDoc>
  <HyperlinksChanged>false</HyperlinksChanged>
  <Application>Microsoft Excel</Application>
  <AppVersion>14.0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2012-02-05T16:35:37Z</dcterms:created>
  <dc:creator>REPHER</dc:creator>
  <cp:lastModifiedBy>Mart</cp:lastModifiedBy>
  <cp:lastPrinted>2012-09-07T21:11:07Z</cp:lastPrinted>
  <dcterms:modified xsi:type="dcterms:W3CDTF">2012-09-10T09:46:39Z</dcterms:modified>
</cp:coreProperties>
</file>