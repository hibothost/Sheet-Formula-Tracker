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calcPr calcId="0" fullCalcOnLoad="1"/>
  <sheets>
    <sheet name="TOCs" sheetId="1" r:id="rId1"/>
    <sheet name="Job History" sheetId="2" r:id="rId2"/>
    <sheet name="INDEX" sheetId="3" r:id="rId3"/>
    <sheet name="ABSTRACT" sheetId="4" r:id="rId4"/>
    <sheet name="DTM" sheetId="5" r:id="rId5"/>
    <sheet name="Field notes" sheetId="6" r:id="rId6"/>
    <sheet name="TRVS" sheetId="7" r:id="rId7"/>
    <sheet name="AREA" sheetId="8" r:id="rId8"/>
  </sheets>
</workbook>
</file>

<file path=xl/comments3.xml><?xml version="1.0" encoding="utf-8"?>
<comments xmlns="http://schemas.openxmlformats.org/spreadsheetml/2006/main">
  <authors>
    <author>sheetjsghost</author>
  </authors>
  <commentList>
    <comment ref="M45" authorId="0">
      <text>
        <t xml:space="preserve">Mart: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<sst xmlns="http://schemas.openxmlformats.org/spreadsheetml/2006/main" count="3831" uniqueCount="958">
  <si>
    <t>TABLE OF CONTENTS</t>
  </si>
  <si>
    <t xml:space="preserve">    ITEM </t>
  </si>
  <si>
    <t xml:space="preserve"> PAGE</t>
  </si>
  <si>
    <t>Mutation form…………………………………………….</t>
  </si>
  <si>
    <t>Plane page…………………………………………………........</t>
  </si>
  <si>
    <t>Table of contents………………………………………………….</t>
  </si>
  <si>
    <t>Job History……………………………………………………….</t>
  </si>
  <si>
    <t>Index to computations……………………………………………..</t>
  </si>
  <si>
    <t>Abstract of coordinates …………………………..………………</t>
  </si>
  <si>
    <t>Datum Coordinates and Computations……………………………</t>
  </si>
  <si>
    <t>Index diagram…………………………………………………….</t>
  </si>
  <si>
    <t>Field sheets……………………………………………………….</t>
  </si>
  <si>
    <t>Traverse Computation sheet………………………………............</t>
  </si>
  <si>
    <t>Area Computation……….………………………………………..</t>
  </si>
  <si>
    <t>INDEX TO COMPUTATION</t>
  </si>
  <si>
    <t xml:space="preserve">Using a RTK GPS  a second class traverse </t>
  </si>
  <si>
    <t>was carried out with the following corrections:</t>
  </si>
  <si>
    <t xml:space="preserve">                          U T M Scale factor                               -0.3737</t>
  </si>
  <si>
    <t xml:space="preserve">                                    M S L                                       -0.1911</t>
  </si>
  <si>
    <t xml:space="preserve">                                    C. C.                                               -0.5648</t>
  </si>
  <si>
    <t>0.2381</t>
  </si>
  <si>
    <t xml:space="preserve">M F = </t>
  </si>
  <si>
    <t>1.0002381</t>
  </si>
  <si>
    <t>Note:</t>
  </si>
  <si>
    <t xml:space="preserve">All the other corrections were automatically done by the GPS and so the </t>
  </si>
  <si>
    <t>recorded distance is the horizontal distance.</t>
  </si>
  <si>
    <t>INDEX TO COMPUTATIONS</t>
  </si>
  <si>
    <t xml:space="preserve">The job was done using the total station TC 1600 observing horizontal distances. </t>
  </si>
  <si>
    <t>The following are the standard corrections per 1000 which were applied to obtain</t>
  </si>
  <si>
    <t xml:space="preserve"> the final distances.</t>
  </si>
  <si>
    <t>Height above sea level</t>
  </si>
  <si>
    <t>=</t>
  </si>
  <si>
    <t>(WAKISO)</t>
  </si>
  <si>
    <t>Mean sea level correction</t>
  </si>
  <si>
    <t>Scale factor</t>
  </si>
  <si>
    <t>Combined correction</t>
  </si>
  <si>
    <t>-0.5648</t>
  </si>
  <si>
    <t>Multiplication Factor MF</t>
  </si>
  <si>
    <t>0.9994352</t>
  </si>
  <si>
    <t>All the other corrections were made automatically done by the total station and so the</t>
  </si>
  <si>
    <t>the recorded distances are truly horizontal.</t>
  </si>
  <si>
    <t xml:space="preserve">The job was done using the total station ……….. observing horizontal distances. </t>
  </si>
  <si>
    <t>The following are the standard corrections which were applied to obtain to</t>
  </si>
  <si>
    <t>(District)</t>
  </si>
  <si>
    <t>ABSTRACT OF RESULTS</t>
  </si>
  <si>
    <t>Stn</t>
  </si>
  <si>
    <t>Northings</t>
  </si>
  <si>
    <t>Eastings</t>
  </si>
  <si>
    <t>CM1</t>
  </si>
  <si>
    <t>CM2</t>
  </si>
  <si>
    <t>CM3</t>
  </si>
  <si>
    <t>CM4</t>
  </si>
  <si>
    <t>CM5</t>
  </si>
  <si>
    <t>CM6</t>
  </si>
  <si>
    <t>CM7</t>
  </si>
  <si>
    <t>CL1</t>
  </si>
  <si>
    <t>CM8</t>
  </si>
  <si>
    <t>CM9</t>
  </si>
  <si>
    <t>CM10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</si>
  <si>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</si>
  <si>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</si>
  <si>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</si>
  <si>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</si>
  <si>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</si>
  <si>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</si>
  <si>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</si>
  <si>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</si>
  <si>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</si>
  <si>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CM20</t>
  </si>
  <si>
    <t>CM21</t>
  </si>
  <si>
    <t>CM22</t>
  </si>
  <si>
    <t>CM23</t>
  </si>
  <si>
    <t>CM24</t>
  </si>
  <si>
    <t>CM25</t>
  </si>
  <si>
    <t>CM26</t>
  </si>
  <si>
    <t>CM27</t>
  </si>
  <si>
    <t>L1</t>
  </si>
  <si>
    <t>CM28</t>
  </si>
  <si>
    <t>CM29</t>
  </si>
  <si>
    <t>CM30</t>
  </si>
  <si>
    <t>CM31</t>
  </si>
  <si>
    <t>CM32</t>
  </si>
  <si>
    <t>CM33</t>
  </si>
  <si>
    <t>CM34</t>
  </si>
  <si>
    <t>CM35</t>
  </si>
  <si>
    <t>CM36</t>
  </si>
  <si>
    <t>CM37</t>
  </si>
  <si>
    <t>CM38</t>
  </si>
  <si>
    <t>CM39</t>
  </si>
  <si>
    <t>CM40</t>
  </si>
  <si>
    <t>CM41</t>
  </si>
  <si>
    <t>CM42</t>
  </si>
  <si>
    <t>CM43</t>
  </si>
  <si>
    <t>CM44</t>
  </si>
  <si>
    <t>CM45</t>
  </si>
  <si>
    <t>CM46</t>
  </si>
  <si>
    <t>CM47</t>
  </si>
  <si>
    <t>CM48</t>
  </si>
  <si>
    <t>CM49</t>
  </si>
  <si>
    <t>CM50</t>
  </si>
  <si>
    <t>CM51</t>
  </si>
  <si>
    <t>CM52</t>
  </si>
  <si>
    <t>CM53</t>
  </si>
  <si>
    <t>CM54</t>
  </si>
  <si>
    <t>CM55</t>
  </si>
  <si>
    <t>CM56</t>
  </si>
  <si>
    <t>CM57</t>
  </si>
  <si>
    <t>CM58</t>
  </si>
  <si>
    <t>CM59</t>
  </si>
  <si>
    <t>CM60</t>
  </si>
  <si>
    <t>CM61</t>
  </si>
  <si>
    <t>CM62</t>
  </si>
  <si>
    <t>CM63</t>
  </si>
  <si>
    <t>CM64</t>
  </si>
  <si>
    <t>CM65</t>
  </si>
  <si>
    <t>DATUM COORDINATES AND COMPUTATIONS</t>
  </si>
  <si>
    <t>cm1</t>
  </si>
  <si>
    <t>I/s No.</t>
  </si>
  <si>
    <t>DD/6126</t>
  </si>
  <si>
    <t>DD/6124</t>
  </si>
  <si>
    <t>cm2</t>
  </si>
  <si>
    <t>OPENING</t>
  </si>
  <si>
    <t>46203.900</t>
  </si>
  <si>
    <t>210775.640</t>
  </si>
  <si>
    <t>±ΔN</t>
  </si>
  <si>
    <t>±ΔE</t>
  </si>
  <si>
    <t>BEARING</t>
  </si>
  <si>
    <t>DIST</t>
  </si>
  <si>
    <t>46098.370</t>
  </si>
  <si>
    <t>210744.470</t>
  </si>
  <si>
    <t>105.530</t>
  </si>
  <si>
    <t>31.170</t>
  </si>
  <si>
    <t>16.45536172</t>
  </si>
  <si>
    <t>16</t>
  </si>
  <si>
    <t>27</t>
  </si>
  <si>
    <t>19</t>
  </si>
  <si>
    <t>110.037</t>
  </si>
  <si>
    <t>46145.060</t>
  </si>
  <si>
    <t>210808.140</t>
  </si>
  <si>
    <t>46.690</t>
  </si>
  <si>
    <t>63.670</t>
  </si>
  <si>
    <t>53.74694252</t>
  </si>
  <si>
    <t>53</t>
  </si>
  <si>
    <t>44</t>
  </si>
  <si>
    <t>49</t>
  </si>
  <si>
    <t>78.955</t>
  </si>
  <si>
    <t>CLOSING</t>
  </si>
  <si>
    <t>46162.990</t>
  </si>
  <si>
    <t>210703.930</t>
  </si>
  <si>
    <t>-17.930</t>
  </si>
  <si>
    <t>104.210</t>
  </si>
  <si>
    <t>99.76252123</t>
  </si>
  <si>
    <t>99</t>
  </si>
  <si>
    <t>45</t>
  </si>
  <si>
    <t>105.741</t>
  </si>
  <si>
    <t>40.910</t>
  </si>
  <si>
    <t>71.710</t>
  </si>
  <si>
    <t>60.29557635</t>
  </si>
  <si>
    <t>60</t>
  </si>
  <si>
    <t>17</t>
  </si>
  <si>
    <t>82.559</t>
  </si>
  <si>
    <t>Observed</t>
  </si>
  <si>
    <t>Corr</t>
  </si>
  <si>
    <t>Direction</t>
  </si>
  <si>
    <t>Final Dist</t>
  </si>
  <si>
    <t>Meas Dist</t>
  </si>
  <si>
    <t>FIELD NOTES</t>
  </si>
  <si>
    <t>AT</t>
  </si>
  <si>
    <t>196</t>
  </si>
  <si>
    <t>18</t>
  </si>
  <si>
    <t>-164</t>
  </si>
  <si>
    <t>54</t>
  </si>
  <si>
    <t>0</t>
  </si>
  <si>
    <t>233</t>
  </si>
  <si>
    <t>48</t>
  </si>
  <si>
    <t>-126</t>
  </si>
  <si>
    <t>234</t>
  </si>
  <si>
    <t>134</t>
  </si>
  <si>
    <t>37</t>
  </si>
  <si>
    <t>57</t>
  </si>
  <si>
    <t>135</t>
  </si>
  <si>
    <t>3</t>
  </si>
  <si>
    <t>288.119</t>
  </si>
  <si>
    <t>288.282</t>
  </si>
  <si>
    <t>314</t>
  </si>
  <si>
    <t>38</t>
  </si>
  <si>
    <t>2</t>
  </si>
  <si>
    <t>-45</t>
  </si>
  <si>
    <t>315</t>
  </si>
  <si>
    <t>114</t>
  </si>
  <si>
    <t>56</t>
  </si>
  <si>
    <t>115</t>
  </si>
  <si>
    <t>232</t>
  </si>
  <si>
    <t>58</t>
  </si>
  <si>
    <t>14</t>
  </si>
  <si>
    <t>-1</t>
  </si>
  <si>
    <t>30.450</t>
  </si>
  <si>
    <t>30.467</t>
  </si>
  <si>
    <t>32</t>
  </si>
  <si>
    <t>12</t>
  </si>
  <si>
    <t>33</t>
  </si>
  <si>
    <t>52</t>
  </si>
  <si>
    <t>15</t>
  </si>
  <si>
    <t>-127</t>
  </si>
  <si>
    <t>215</t>
  </si>
  <si>
    <t>42</t>
  </si>
  <si>
    <t>216</t>
  </si>
  <si>
    <t>-3</t>
  </si>
  <si>
    <t>1</t>
  </si>
  <si>
    <t>55</t>
  </si>
  <si>
    <t>8.731</t>
  </si>
  <si>
    <t>8.736</t>
  </si>
  <si>
    <t>35</t>
  </si>
  <si>
    <t>50</t>
  </si>
  <si>
    <t>36</t>
  </si>
  <si>
    <t>-144</t>
  </si>
  <si>
    <t>144</t>
  </si>
  <si>
    <t>20</t>
  </si>
  <si>
    <t>9</t>
  </si>
  <si>
    <t>10</t>
  </si>
  <si>
    <t>46.551</t>
  </si>
  <si>
    <t>46.577</t>
  </si>
  <si>
    <t>324</t>
  </si>
  <si>
    <t>11</t>
  </si>
  <si>
    <t>-36</t>
  </si>
  <si>
    <t>139</t>
  </si>
  <si>
    <t>6</t>
  </si>
  <si>
    <t>10.093</t>
  </si>
  <si>
    <t>10.098</t>
  </si>
  <si>
    <t>319</t>
  </si>
  <si>
    <t>7</t>
  </si>
  <si>
    <t>-41</t>
  </si>
  <si>
    <t>229</t>
  </si>
  <si>
    <t>26</t>
  </si>
  <si>
    <t>230</t>
  </si>
  <si>
    <t>29</t>
  </si>
  <si>
    <t>14.761</t>
  </si>
  <si>
    <t>14.770</t>
  </si>
  <si>
    <t>28</t>
  </si>
  <si>
    <t>-130</t>
  </si>
  <si>
    <t>207</t>
  </si>
  <si>
    <t>40</t>
  </si>
  <si>
    <t>18.637</t>
  </si>
  <si>
    <t>18.647</t>
  </si>
  <si>
    <t>39</t>
  </si>
  <si>
    <t>-153</t>
  </si>
  <si>
    <t>223</t>
  </si>
  <si>
    <t>31</t>
  </si>
  <si>
    <t>18.120</t>
  </si>
  <si>
    <t>18.130</t>
  </si>
  <si>
    <t>43</t>
  </si>
  <si>
    <t>30</t>
  </si>
  <si>
    <t>-137</t>
  </si>
  <si>
    <t>51</t>
  </si>
  <si>
    <t>8.440</t>
  </si>
  <si>
    <t>8.444</t>
  </si>
  <si>
    <t>236</t>
  </si>
  <si>
    <t>-123</t>
  </si>
  <si>
    <t>237</t>
  </si>
  <si>
    <t>308</t>
  </si>
  <si>
    <t>23</t>
  </si>
  <si>
    <t>309</t>
  </si>
  <si>
    <t>25</t>
  </si>
  <si>
    <t>23.533</t>
  </si>
  <si>
    <t>23.547</t>
  </si>
  <si>
    <t>128</t>
  </si>
  <si>
    <t>129</t>
  </si>
  <si>
    <t>24</t>
  </si>
  <si>
    <t>-51</t>
  </si>
  <si>
    <t>224</t>
  </si>
  <si>
    <t>15.218</t>
  </si>
  <si>
    <t>15.226</t>
  </si>
  <si>
    <t>-136</t>
  </si>
  <si>
    <t>245</t>
  </si>
  <si>
    <t>246</t>
  </si>
  <si>
    <t>13.909</t>
  </si>
  <si>
    <t>13.917</t>
  </si>
  <si>
    <t>65</t>
  </si>
  <si>
    <t>66</t>
  </si>
  <si>
    <t>225</t>
  </si>
  <si>
    <t>-134</t>
  </si>
  <si>
    <t>226</t>
  </si>
  <si>
    <t>247</t>
  </si>
  <si>
    <t>248</t>
  </si>
  <si>
    <t>37.340</t>
  </si>
  <si>
    <t>37.361</t>
  </si>
  <si>
    <t>47</t>
  </si>
  <si>
    <t>67</t>
  </si>
  <si>
    <t>68</t>
  </si>
  <si>
    <t>-112</t>
  </si>
  <si>
    <t>243</t>
  </si>
  <si>
    <t>22</t>
  </si>
  <si>
    <t>51.621</t>
  </si>
  <si>
    <t>51.651</t>
  </si>
  <si>
    <t>63</t>
  </si>
  <si>
    <t>-117</t>
  </si>
  <si>
    <t>300</t>
  </si>
  <si>
    <t>301</t>
  </si>
  <si>
    <t>19.733</t>
  </si>
  <si>
    <t>19.744</t>
  </si>
  <si>
    <t>120</t>
  </si>
  <si>
    <t>121</t>
  </si>
  <si>
    <t>-59</t>
  </si>
  <si>
    <t>305</t>
  </si>
  <si>
    <t>306</t>
  </si>
  <si>
    <t>13.321</t>
  </si>
  <si>
    <t>13.329</t>
  </si>
  <si>
    <t>125</t>
  </si>
  <si>
    <t>126</t>
  </si>
  <si>
    <t>-54</t>
  </si>
  <si>
    <t>312</t>
  </si>
  <si>
    <t>313</t>
  </si>
  <si>
    <t>4</t>
  </si>
  <si>
    <t>11.398</t>
  </si>
  <si>
    <t>11.404</t>
  </si>
  <si>
    <t>132</t>
  </si>
  <si>
    <t>133</t>
  </si>
  <si>
    <t>-47</t>
  </si>
  <si>
    <t>11.764</t>
  </si>
  <si>
    <t>11.771</t>
  </si>
  <si>
    <t>59</t>
  </si>
  <si>
    <t>41</t>
  </si>
  <si>
    <t>40.159</t>
  </si>
  <si>
    <t>40.182</t>
  </si>
  <si>
    <t>228</t>
  </si>
  <si>
    <t>-131</t>
  </si>
  <si>
    <t>155</t>
  </si>
  <si>
    <t>156</t>
  </si>
  <si>
    <t>8.942</t>
  </si>
  <si>
    <t>8.947</t>
  </si>
  <si>
    <t>335</t>
  </si>
  <si>
    <t>-24</t>
  </si>
  <si>
    <t>336</t>
  </si>
  <si>
    <t>142</t>
  </si>
  <si>
    <t>20.657</t>
  </si>
  <si>
    <t>20.668</t>
  </si>
  <si>
    <t>322</t>
  </si>
  <si>
    <t>21</t>
  </si>
  <si>
    <t>-38</t>
  </si>
  <si>
    <t>44.169</t>
  </si>
  <si>
    <t>44.194</t>
  </si>
  <si>
    <t>143</t>
  </si>
  <si>
    <t>29.586</t>
  </si>
  <si>
    <t>29.603</t>
  </si>
  <si>
    <t>-37</t>
  </si>
  <si>
    <t>323</t>
  </si>
  <si>
    <t>34</t>
  </si>
  <si>
    <t>5.540</t>
  </si>
  <si>
    <t>5.543</t>
  </si>
  <si>
    <t>32.930</t>
  </si>
  <si>
    <t>32.949</t>
  </si>
  <si>
    <t>294</t>
  </si>
  <si>
    <t>-66</t>
  </si>
  <si>
    <t>178</t>
  </si>
  <si>
    <t>358</t>
  </si>
  <si>
    <t>-2</t>
  </si>
  <si>
    <t>214</t>
  </si>
  <si>
    <t>66.764</t>
  </si>
  <si>
    <t>66.801</t>
  </si>
  <si>
    <t>-146</t>
  </si>
  <si>
    <t>127</t>
  </si>
  <si>
    <t>34.565</t>
  </si>
  <si>
    <t>34.584</t>
  </si>
  <si>
    <t>307</t>
  </si>
  <si>
    <t>-53</t>
  </si>
  <si>
    <t>117</t>
  </si>
  <si>
    <t>118</t>
  </si>
  <si>
    <t>27.604</t>
  </si>
  <si>
    <t>27.620</t>
  </si>
  <si>
    <t>297</t>
  </si>
  <si>
    <t>-62</t>
  </si>
  <si>
    <t>298</t>
  </si>
  <si>
    <t>80.118</t>
  </si>
  <si>
    <t>80.163</t>
  </si>
  <si>
    <t>227</t>
  </si>
  <si>
    <t>-132</t>
  </si>
  <si>
    <t>118.712</t>
  </si>
  <si>
    <t>118.779</t>
  </si>
  <si>
    <t>62.330</t>
  </si>
  <si>
    <t>62.365</t>
  </si>
  <si>
    <t>-128</t>
  </si>
  <si>
    <t>46</t>
  </si>
  <si>
    <t>40.389</t>
  </si>
  <si>
    <t>40.412</t>
  </si>
  <si>
    <t>152</t>
  </si>
  <si>
    <t>113.239</t>
  </si>
  <si>
    <t>113.303</t>
  </si>
  <si>
    <t>332</t>
  </si>
  <si>
    <t>-28</t>
  </si>
  <si>
    <t>151</t>
  </si>
  <si>
    <t>55.597</t>
  </si>
  <si>
    <t>55.629</t>
  </si>
  <si>
    <t>331</t>
  </si>
  <si>
    <t>150</t>
  </si>
  <si>
    <t>13</t>
  </si>
  <si>
    <t>56.826</t>
  </si>
  <si>
    <t>56.858</t>
  </si>
  <si>
    <t>330</t>
  </si>
  <si>
    <t>-30</t>
  </si>
  <si>
    <t>305.596</t>
  </si>
  <si>
    <t>305.768</t>
  </si>
  <si>
    <t>100</t>
  </si>
  <si>
    <t>279</t>
  </si>
  <si>
    <t>-80</t>
  </si>
  <si>
    <t>280</t>
  </si>
  <si>
    <t>240</t>
  </si>
  <si>
    <t>-120</t>
  </si>
  <si>
    <t>THE END</t>
  </si>
  <si>
    <t>Bearing</t>
  </si>
  <si>
    <t>Distance</t>
  </si>
  <si>
    <t>±ΔN/m</t>
  </si>
  <si>
    <t>±ΔE/m</t>
  </si>
  <si>
    <t>N/m</t>
  </si>
  <si>
    <t>E/m</t>
  </si>
  <si>
    <t>Remarks</t>
  </si>
  <si>
    <t>TRAVERSE COMPUTATION SHEET</t>
  </si>
  <si>
    <t xml:space="preserve">PROJECT -------------------------------------------------------------------Page---------------of-------------------------------------                                                          </t>
  </si>
  <si>
    <t>Date-----------------------------------------Observed By-----------------------------Compiled By------------------------------</t>
  </si>
  <si>
    <t>xx</t>
  </si>
  <si>
    <t>ee</t>
  </si>
  <si>
    <t>288.123</t>
  </si>
  <si>
    <t>-202.424</t>
  </si>
  <si>
    <t>0.008</t>
  </si>
  <si>
    <t>205.030</t>
  </si>
  <si>
    <t>0.013</t>
  </si>
  <si>
    <t>30.448</t>
  </si>
  <si>
    <t>-18.337</t>
  </si>
  <si>
    <t>0.001</t>
  </si>
  <si>
    <t>-24.309</t>
  </si>
  <si>
    <t>-7.089</t>
  </si>
  <si>
    <t>0.000</t>
  </si>
  <si>
    <t>-5.097</t>
  </si>
  <si>
    <t>-37.821</t>
  </si>
  <si>
    <t>27.140</t>
  </si>
  <si>
    <t>0.002</t>
  </si>
  <si>
    <t>-7.652</t>
  </si>
  <si>
    <t>6.581</t>
  </si>
  <si>
    <t>-9.493</t>
  </si>
  <si>
    <t>-11.304</t>
  </si>
  <si>
    <t>8</t>
  </si>
  <si>
    <t>18.635</t>
  </si>
  <si>
    <t>-16.564</t>
  </si>
  <si>
    <t>-8.542</t>
  </si>
  <si>
    <t>18.119</t>
  </si>
  <si>
    <t>-13.239</t>
  </si>
  <si>
    <t>-12.372</t>
  </si>
  <si>
    <t>4.615</t>
  </si>
  <si>
    <t>7.066</t>
  </si>
  <si>
    <t>14.728</t>
  </si>
  <si>
    <t>-18.355</t>
  </si>
  <si>
    <t>15.217</t>
  </si>
  <si>
    <t>-11.015</t>
  </si>
  <si>
    <t>-10.500</t>
  </si>
  <si>
    <t>-114</t>
  </si>
  <si>
    <t>13.908</t>
  </si>
  <si>
    <t>-5.734</t>
  </si>
  <si>
    <t>-12.672</t>
  </si>
  <si>
    <t>37.338</t>
  </si>
  <si>
    <t>-14.097</t>
  </si>
  <si>
    <t>-34.577</t>
  </si>
  <si>
    <t>51.619</t>
  </si>
  <si>
    <t>-23.129</t>
  </si>
  <si>
    <t>-46.150</t>
  </si>
  <si>
    <t>339</t>
  </si>
  <si>
    <t>340</t>
  </si>
  <si>
    <t>5</t>
  </si>
  <si>
    <t>-20</t>
  </si>
  <si>
    <t>65.571</t>
  </si>
  <si>
    <t>61.538</t>
  </si>
  <si>
    <t>-22.640</t>
  </si>
  <si>
    <t>0.003</t>
  </si>
  <si>
    <t>259</t>
  </si>
  <si>
    <t>260</t>
  </si>
  <si>
    <t>-100</t>
  </si>
  <si>
    <t>226.104</t>
  </si>
  <si>
    <t>226.093</t>
  </si>
  <si>
    <t>-39.702</t>
  </si>
  <si>
    <t>0.007</t>
  </si>
  <si>
    <t>-222.591</t>
  </si>
  <si>
    <t>0.010</t>
  </si>
  <si>
    <t>267</t>
  </si>
  <si>
    <t>268</t>
  </si>
  <si>
    <t>-92</t>
  </si>
  <si>
    <t>24.891</t>
  </si>
  <si>
    <t>24.890</t>
  </si>
  <si>
    <t>-0.869</t>
  </si>
  <si>
    <t>-24.876</t>
  </si>
  <si>
    <t>285</t>
  </si>
  <si>
    <t>-75</t>
  </si>
  <si>
    <t>51.432</t>
  </si>
  <si>
    <t>51.431</t>
  </si>
  <si>
    <t>13.620</t>
  </si>
  <si>
    <t>-49.596</t>
  </si>
  <si>
    <t>203</t>
  </si>
  <si>
    <t>-157</t>
  </si>
  <si>
    <t>32.248</t>
  </si>
  <si>
    <t>32.246</t>
  </si>
  <si>
    <t>-29.594</t>
  </si>
  <si>
    <t>-12.810</t>
  </si>
  <si>
    <t>20.723</t>
  </si>
  <si>
    <t>20.722</t>
  </si>
  <si>
    <t>-19.029</t>
  </si>
  <si>
    <t>-8.207</t>
  </si>
  <si>
    <t>275</t>
  </si>
  <si>
    <t>-85</t>
  </si>
  <si>
    <t>59.152</t>
  </si>
  <si>
    <t>59.149</t>
  </si>
  <si>
    <t>5.369</t>
  </si>
  <si>
    <t>-58.908</t>
  </si>
  <si>
    <t>39.057</t>
  </si>
  <si>
    <t>39.058</t>
  </si>
  <si>
    <t>38.694</t>
  </si>
  <si>
    <t>5.311</t>
  </si>
  <si>
    <t>46.977</t>
  </si>
  <si>
    <t>46.978</t>
  </si>
  <si>
    <t>46.305</t>
  </si>
  <si>
    <t>7.917</t>
  </si>
  <si>
    <t>72</t>
  </si>
  <si>
    <t>73</t>
  </si>
  <si>
    <t>6.333</t>
  </si>
  <si>
    <t>1.896</t>
  </si>
  <si>
    <t>6.043</t>
  </si>
  <si>
    <t>13.843</t>
  </si>
  <si>
    <t>13.844</t>
  </si>
  <si>
    <t>6.983</t>
  </si>
  <si>
    <t>11.953</t>
  </si>
  <si>
    <t>13.435</t>
  </si>
  <si>
    <t>13.436</t>
  </si>
  <si>
    <t>6.786</t>
  </si>
  <si>
    <t>11.595</t>
  </si>
  <si>
    <t>31.227</t>
  </si>
  <si>
    <t>31.229</t>
  </si>
  <si>
    <t>18.629</t>
  </si>
  <si>
    <t>25.062</t>
  </si>
  <si>
    <t>9.106</t>
  </si>
  <si>
    <t>5.959</t>
  </si>
  <si>
    <t>6.885</t>
  </si>
  <si>
    <t>39.307</t>
  </si>
  <si>
    <t>39.309</t>
  </si>
  <si>
    <t>24.471</t>
  </si>
  <si>
    <t>30.760</t>
  </si>
  <si>
    <t>18.684</t>
  </si>
  <si>
    <t>18.686</t>
  </si>
  <si>
    <t>10.638</t>
  </si>
  <si>
    <t>15.360</t>
  </si>
  <si>
    <t>38.978</t>
  </si>
  <si>
    <t>38.980</t>
  </si>
  <si>
    <t>27.277</t>
  </si>
  <si>
    <t>27.843</t>
  </si>
  <si>
    <t>316</t>
  </si>
  <si>
    <t>-44</t>
  </si>
  <si>
    <t>25.329</t>
  </si>
  <si>
    <t>18.348</t>
  </si>
  <si>
    <t>-17.461</t>
  </si>
  <si>
    <t>19.069</t>
  </si>
  <si>
    <t>19.070</t>
  </si>
  <si>
    <t>15.309</t>
  </si>
  <si>
    <t>11.369</t>
  </si>
  <si>
    <t>-52</t>
  </si>
  <si>
    <t>52.595</t>
  </si>
  <si>
    <t>52.594</t>
  </si>
  <si>
    <t>32.048</t>
  </si>
  <si>
    <t>-41.703</t>
  </si>
  <si>
    <t>6.174</t>
  </si>
  <si>
    <t>4.190</t>
  </si>
  <si>
    <t>-4.534</t>
  </si>
  <si>
    <t>329</t>
  </si>
  <si>
    <t>-31</t>
  </si>
  <si>
    <t>19.158</t>
  </si>
  <si>
    <t>16.498</t>
  </si>
  <si>
    <t>-9.739</t>
  </si>
  <si>
    <t>24.652</t>
  </si>
  <si>
    <t>14.909</t>
  </si>
  <si>
    <t>-19.633</t>
  </si>
  <si>
    <t>27.334</t>
  </si>
  <si>
    <t>27.335</t>
  </si>
  <si>
    <t>21.317</t>
  </si>
  <si>
    <t>17.109</t>
  </si>
  <si>
    <t>23.281</t>
  </si>
  <si>
    <t>23.283</t>
  </si>
  <si>
    <t>18.296</t>
  </si>
  <si>
    <t>14.397</t>
  </si>
  <si>
    <t>26.235</t>
  </si>
  <si>
    <t>26.236</t>
  </si>
  <si>
    <t>21.583</t>
  </si>
  <si>
    <t>14.914</t>
  </si>
  <si>
    <t>321</t>
  </si>
  <si>
    <t>12.271</t>
  </si>
  <si>
    <t>12.270</t>
  </si>
  <si>
    <t>9.665</t>
  </si>
  <si>
    <t>-7.560</t>
  </si>
  <si>
    <t>217</t>
  </si>
  <si>
    <t>-143</t>
  </si>
  <si>
    <t>29.516</t>
  </si>
  <si>
    <t>29.515</t>
  </si>
  <si>
    <t>-23.630</t>
  </si>
  <si>
    <t>-17.687</t>
  </si>
  <si>
    <t>29.618</t>
  </si>
  <si>
    <t>20.109</t>
  </si>
  <si>
    <t>-21.745</t>
  </si>
  <si>
    <t>1.104</t>
  </si>
  <si>
    <t>0.907</t>
  </si>
  <si>
    <t>0.629</t>
  </si>
  <si>
    <t>19.732</t>
  </si>
  <si>
    <t>10.048</t>
  </si>
  <si>
    <t>-16.983</t>
  </si>
  <si>
    <t>13.320</t>
  </si>
  <si>
    <t>7.812</t>
  </si>
  <si>
    <t>-10.790</t>
  </si>
  <si>
    <t>11.397</t>
  </si>
  <si>
    <t>7.769</t>
  </si>
  <si>
    <t>-8.340</t>
  </si>
  <si>
    <t>11.765</t>
  </si>
  <si>
    <t>8.548</t>
  </si>
  <si>
    <t>8.083</t>
  </si>
  <si>
    <t>40.161</t>
  </si>
  <si>
    <t>26.504</t>
  </si>
  <si>
    <t>30.171</t>
  </si>
  <si>
    <t>-8.160</t>
  </si>
  <si>
    <t>3.657</t>
  </si>
  <si>
    <t>20.656</t>
  </si>
  <si>
    <t>-16.378</t>
  </si>
  <si>
    <t>12.588</t>
  </si>
  <si>
    <t>-34.924</t>
  </si>
  <si>
    <t>27.041</t>
  </si>
  <si>
    <t>-23.573</t>
  </si>
  <si>
    <t>17.879</t>
  </si>
  <si>
    <t>61</t>
  </si>
  <si>
    <t>3.366</t>
  </si>
  <si>
    <t>4.400</t>
  </si>
  <si>
    <t>62</t>
  </si>
  <si>
    <t>-22.901</t>
  </si>
  <si>
    <t>23.663</t>
  </si>
  <si>
    <t>15.570</t>
  </si>
  <si>
    <t>-15.563</t>
  </si>
  <si>
    <t>0.465</t>
  </si>
  <si>
    <t>64</t>
  </si>
  <si>
    <t>66.760</t>
  </si>
  <si>
    <t>-55.262</t>
  </si>
  <si>
    <t>-37.463</t>
  </si>
  <si>
    <t>34.566</t>
  </si>
  <si>
    <t>-20.818</t>
  </si>
  <si>
    <t>27.592</t>
  </si>
  <si>
    <t>27.605</t>
  </si>
  <si>
    <t>-12.850</t>
  </si>
  <si>
    <t>24.431</t>
  </si>
  <si>
    <t>80.122</t>
  </si>
  <si>
    <t>54.092</t>
  </si>
  <si>
    <t>59.101</t>
  </si>
  <si>
    <t>0.004</t>
  </si>
  <si>
    <t>118.718</t>
  </si>
  <si>
    <t>77.466</t>
  </si>
  <si>
    <t>89.953</t>
  </si>
  <si>
    <t>0.005</t>
  </si>
  <si>
    <t>69</t>
  </si>
  <si>
    <t>62.334</t>
  </si>
  <si>
    <t>38.347</t>
  </si>
  <si>
    <t>49.138</t>
  </si>
  <si>
    <t>70</t>
  </si>
  <si>
    <t>40.392</t>
  </si>
  <si>
    <t>21.873</t>
  </si>
  <si>
    <t>33.954</t>
  </si>
  <si>
    <t>-100.363</t>
  </si>
  <si>
    <t>52.444</t>
  </si>
  <si>
    <t>55.596</t>
  </si>
  <si>
    <t>-48.885</t>
  </si>
  <si>
    <t>26.482</t>
  </si>
  <si>
    <t>74</t>
  </si>
  <si>
    <t>56.825</t>
  </si>
  <si>
    <t>-49.338</t>
  </si>
  <si>
    <t>28.194</t>
  </si>
  <si>
    <t>75</t>
  </si>
  <si>
    <t>305.593</t>
  </si>
  <si>
    <t>216.453</t>
  </si>
  <si>
    <t>0.009</t>
  </si>
  <si>
    <t>-215.724</t>
  </si>
  <si>
    <t>2834.441</t>
  </si>
  <si>
    <t>64.539</t>
  </si>
  <si>
    <t>2834.454</t>
  </si>
  <si>
    <t>0.081</t>
  </si>
  <si>
    <t>-40.665</t>
  </si>
  <si>
    <t>0.125</t>
  </si>
  <si>
    <t>64.620</t>
  </si>
  <si>
    <t>-40.540</t>
  </si>
  <si>
    <t>76</t>
  </si>
  <si>
    <t>0.082</t>
  </si>
  <si>
    <t>Angular misclsure is</t>
  </si>
  <si>
    <t>76" in 67 setups or</t>
  </si>
  <si>
    <t>1.1</t>
  </si>
  <si>
    <t>" per setup</t>
  </si>
  <si>
    <t>Linear misclosure is =</t>
  </si>
  <si>
    <t>0.149</t>
  </si>
  <si>
    <t>m</t>
  </si>
  <si>
    <t>or 1 in</t>
  </si>
  <si>
    <t>AREA COMPUTATION</t>
  </si>
  <si>
    <t xml:space="preserve">PLOT </t>
  </si>
  <si>
    <t>POINT</t>
  </si>
  <si>
    <t>45895.954</t>
  </si>
  <si>
    <t>210949.513</t>
  </si>
  <si>
    <t>9672318501</t>
  </si>
  <si>
    <t>9724428702</t>
  </si>
  <si>
    <t>288.12</t>
  </si>
  <si>
    <t>45877.618</t>
  </si>
  <si>
    <t>210925.205</t>
  </si>
  <si>
    <t>9677861175</t>
  </si>
  <si>
    <t>9680613506</t>
  </si>
  <si>
    <t>30.45</t>
  </si>
  <si>
    <t>45870.529</t>
  </si>
  <si>
    <t>210920.108</t>
  </si>
  <si>
    <t>9675250733</t>
  </si>
  <si>
    <t>9676512143</t>
  </si>
  <si>
    <t>8.73</t>
  </si>
  <si>
    <t>45832.709</t>
  </si>
  <si>
    <t>210947.250</t>
  </si>
  <si>
    <t>9667039932</t>
  </si>
  <si>
    <t>9676261949</t>
  </si>
  <si>
    <t>46.55</t>
  </si>
  <si>
    <t>45825.057</t>
  </si>
  <si>
    <t>210953.831</t>
  </si>
  <si>
    <t>9666669755</t>
  </si>
  <si>
    <t>9668585549</t>
  </si>
  <si>
    <t>10.09</t>
  </si>
  <si>
    <t>45815.564</t>
  </si>
  <si>
    <t>210942.528</t>
  </si>
  <si>
    <t>9664968745</t>
  </si>
  <si>
    <t>9666453369</t>
  </si>
  <si>
    <t>14.76</t>
  </si>
  <si>
    <t>45799.001</t>
  </si>
  <si>
    <t>210933.987</t>
  </si>
  <si>
    <t>9660957051</t>
  </si>
  <si>
    <t>9664059581</t>
  </si>
  <si>
    <t>18.64</t>
  </si>
  <si>
    <t>45785.763</t>
  </si>
  <si>
    <t>210921.616</t>
  </si>
  <si>
    <t>9657773537</t>
  </si>
  <si>
    <t>9659999302</t>
  </si>
  <si>
    <t>18.12</t>
  </si>
  <si>
    <t>45790.378</t>
  </si>
  <si>
    <t>210928.682</t>
  </si>
  <si>
    <t>9658180525</t>
  </si>
  <si>
    <t>9657530644</t>
  </si>
  <si>
    <t>8.44</t>
  </si>
  <si>
    <t>45805.107</t>
  </si>
  <si>
    <t>210910.328</t>
  </si>
  <si>
    <t>9661610848</t>
  </si>
  <si>
    <t>9657663643</t>
  </si>
  <si>
    <t>23.53</t>
  </si>
  <si>
    <t>45794.092</t>
  </si>
  <si>
    <t>210899.829</t>
  </si>
  <si>
    <t>9658446964</t>
  </si>
  <si>
    <t>9660289234</t>
  </si>
  <si>
    <t>15.22</t>
  </si>
  <si>
    <t>45788.358</t>
  </si>
  <si>
    <t>210887.158</t>
  </si>
  <si>
    <t>9656756872</t>
  </si>
  <si>
    <t>9657385915</t>
  </si>
  <si>
    <t>13.91</t>
  </si>
  <si>
    <t>45774.262</t>
  </si>
  <si>
    <t>210852.583</t>
  </si>
  <si>
    <t>9653204023</t>
  </si>
  <si>
    <t>9654593556</t>
  </si>
  <si>
    <t>37.34</t>
  </si>
  <si>
    <t>45751.134</t>
  </si>
  <si>
    <t>210806.435</t>
  </si>
  <si>
    <t>9646744779</t>
  </si>
  <si>
    <t>9649508987</t>
  </si>
  <si>
    <t>51.62</t>
  </si>
  <si>
    <t>46109.742</t>
  </si>
  <si>
    <t>210456.958</t>
  </si>
  <si>
    <t>9720230330</t>
  </si>
  <si>
    <t>9628644487</t>
  </si>
  <si>
    <t>500.73</t>
  </si>
  <si>
    <t>46117.554</t>
  </si>
  <si>
    <t>210446.169</t>
  </si>
  <si>
    <t>9705760125</t>
  </si>
  <si>
    <t>9703618557</t>
  </si>
  <si>
    <t>13.32</t>
  </si>
  <si>
    <t>46125.323</t>
  </si>
  <si>
    <t>210437.830</t>
  </si>
  <si>
    <t>9706897519</t>
  </si>
  <si>
    <t>9704877989</t>
  </si>
  <si>
    <t>11.40</t>
  </si>
  <si>
    <t>46133.871</t>
  </si>
  <si>
    <t>210445.914</t>
  </si>
  <si>
    <t>9708311703</t>
  </si>
  <si>
    <t>9706885757</t>
  </si>
  <si>
    <t>11.77</t>
  </si>
  <si>
    <t>46160.376</t>
  </si>
  <si>
    <t>210476.087</t>
  </si>
  <si>
    <t>9714262518</t>
  </si>
  <si>
    <t>9710076646</t>
  </si>
  <si>
    <t>40.16</t>
  </si>
  <si>
    <t>46152.216</t>
  </si>
  <si>
    <t>210479.744</t>
  </si>
  <si>
    <t>9713937830</t>
  </si>
  <si>
    <t>9715824123</t>
  </si>
  <si>
    <t>8.94</t>
  </si>
  <si>
    <t>46135.839</t>
  </si>
  <si>
    <t>210492.333</t>
  </si>
  <si>
    <t>9710659582</t>
  </si>
  <si>
    <t>9714687619</t>
  </si>
  <si>
    <t>20.66</t>
  </si>
  <si>
    <t>46100.916</t>
  </si>
  <si>
    <t>210519.376</t>
  </si>
  <si>
    <t>9703889362</t>
  </si>
  <si>
    <t>9712488038</t>
  </si>
  <si>
    <t>44.17</t>
  </si>
  <si>
    <t>46077.344</t>
  </si>
  <si>
    <t>210537.256</t>
  </si>
  <si>
    <t>9700173707</t>
  </si>
  <si>
    <t>9705960354</t>
  </si>
  <si>
    <t>29.59</t>
  </si>
  <si>
    <t>46080.710</t>
  </si>
  <si>
    <t>210541.656</t>
  </si>
  <si>
    <t>9701706238</t>
  </si>
  <si>
    <t>9701200310</t>
  </si>
  <si>
    <t>5.54</t>
  </si>
  <si>
    <t>46057.810</t>
  </si>
  <si>
    <t>210565.320</t>
  </si>
  <si>
    <t>9697087589</t>
  </si>
  <si>
    <t>9702999447</t>
  </si>
  <si>
    <t>32.93</t>
  </si>
  <si>
    <t>#ERROR!</t>
  </si>
  <si>
    <t>46042.247</t>
  </si>
  <si>
    <t>210565.786</t>
  </si>
  <si>
    <t>45986.987</t>
  </si>
  <si>
    <t>210528.326</t>
  </si>
  <si>
    <t>9683286063</t>
  </si>
  <si>
    <t>9693197186</t>
  </si>
  <si>
    <t>66.76</t>
  </si>
  <si>
    <t>45966.170</t>
  </si>
  <si>
    <t>210555.920</t>
  </si>
  <si>
    <t>9677180823</t>
  </si>
  <si>
    <t>9682832356</t>
  </si>
  <si>
    <t>34.57</t>
  </si>
  <si>
    <t>45953.321</t>
  </si>
  <si>
    <t>210580.352</t>
  </si>
  <si>
    <t>9675743780</t>
  </si>
  <si>
    <t>9679572259</t>
  </si>
  <si>
    <t>27.60</t>
  </si>
  <si>
    <t>46007.415</t>
  </si>
  <si>
    <t>210639.457</t>
  </si>
  <si>
    <t>9688257645</t>
  </si>
  <si>
    <t>9679582583</t>
  </si>
  <si>
    <t>80.12</t>
  </si>
  <si>
    <t>46084.884</t>
  </si>
  <si>
    <t>210729.415</t>
  </si>
  <si>
    <t>9707294942</t>
  </si>
  <si>
    <t>9695115649</t>
  </si>
  <si>
    <t>118.72</t>
  </si>
  <si>
    <t>46123.233</t>
  </si>
  <si>
    <t>210778.556</t>
  </si>
  <si>
    <t>9719521908</t>
  </si>
  <si>
    <t>9713705303</t>
  </si>
  <si>
    <t>62.33</t>
  </si>
  <si>
    <t>46145.107</t>
  </si>
  <si>
    <t>210812.512</t>
  </si>
  <si>
    <t>9726399020</t>
  </si>
  <si>
    <t>9723354610</t>
  </si>
  <si>
    <t>40.39</t>
  </si>
  <si>
    <t>46044.747</t>
  </si>
  <si>
    <t>210864.961</t>
  </si>
  <si>
    <t>45995.864</t>
  </si>
  <si>
    <t>210891.445</t>
  </si>
  <si>
    <t>9698916069</t>
  </si>
  <si>
    <t>9710443229</t>
  </si>
  <si>
    <t>55.60</t>
  </si>
  <si>
    <t>45946.528</t>
  </si>
  <si>
    <t>210919.641</t>
  </si>
  <si>
    <t>9689729683</t>
  </si>
  <si>
    <t>9701431122</t>
  </si>
  <si>
    <t>56.82</t>
  </si>
  <si>
    <t>9736681278</t>
  </si>
  <si>
    <t>9681114019</t>
  </si>
  <si>
    <t>305.59</t>
  </si>
  <si>
    <t>AREA=</t>
  </si>
  <si>
    <t>HACTARES</t>
  </si>
  <si>
    <t>OR</t>
  </si>
  <si>
    <t>ACRES</t>
  </si>
  <si>
    <t>DECIMALS</t>
  </si>
  <si>
    <t>AREA &amp; DISTANCE COMPUTATIONS</t>
  </si>
  <si>
    <t xml:space="preserve"> PLOT1</t>
  </si>
  <si>
    <t>Northing</t>
  </si>
  <si>
    <t>Easting</t>
  </si>
  <si>
    <t>Dist/m</t>
  </si>
  <si>
    <t>2752331.421</t>
  </si>
  <si>
    <t>1261410.559</t>
  </si>
  <si>
    <t>9222016.383</t>
  </si>
  <si>
    <t>1915793.415</t>
  </si>
  <si>
    <t>1484624.098</t>
  </si>
  <si>
    <t>3102530.359</t>
  </si>
  <si>
    <t>2225764.679</t>
  </si>
  <si>
    <t>-649881.0565</t>
  </si>
  <si>
    <t>-3947205.155</t>
  </si>
  <si>
    <t>1842269.445</t>
  </si>
  <si>
    <t>629042.6798</t>
  </si>
  <si>
    <t>1389532.901</t>
  </si>
  <si>
    <t>2764207.897</t>
  </si>
  <si>
    <t>-14008696.43</t>
  </si>
  <si>
    <t>-1829967.93</t>
  </si>
  <si>
    <t>-955835.7163</t>
  </si>
  <si>
    <t>-5137737.587</t>
  </si>
  <si>
    <t>5642464.892</t>
  </si>
  <si>
    <t>3629423.235</t>
  </si>
  <si>
    <t>-3824555.975</t>
  </si>
  <si>
    <t>-7898662.403</t>
  </si>
  <si>
    <t>-9380803.46</t>
  </si>
  <si>
    <t>-122020.954</t>
  </si>
  <si>
    <t>-921561.0807</t>
  </si>
  <si>
    <t>-896514.201</t>
  </si>
  <si>
    <t>-2771710.217</t>
  </si>
  <si>
    <t>-1335.737677</t>
  </si>
  <si>
    <t>-938460.4608</t>
  </si>
  <si>
    <t>-3739922.272</t>
  </si>
  <si>
    <t>-1534690.732</t>
  </si>
  <si>
    <t>-4464610.34</t>
  </si>
  <si>
    <t>-4665424.313</t>
  </si>
  <si>
    <t>-2700904.254</t>
  </si>
  <si>
    <t>-8664846.988</t>
  </si>
  <si>
    <t>-1090572.75</t>
  </si>
  <si>
    <t>-3921041.384</t>
  </si>
  <si>
    <t>-4041854.756</t>
  </si>
  <si>
    <t>-3699284.154</t>
  </si>
  <si>
    <t>-3188285.965</t>
  </si>
  <si>
    <t>-3856398.43</t>
  </si>
  <si>
    <t>-2383092.965</t>
  </si>
  <si>
    <t>4158840.191</t>
  </si>
  <si>
    <t>-5234990.287</t>
  </si>
  <si>
    <t>-161903.1567</t>
  </si>
  <si>
    <t>-2897917.61</t>
  </si>
  <si>
    <t>-2141567.762</t>
  </si>
  <si>
    <t>-2019530.57</t>
  </si>
  <si>
    <t>-1425945.46</t>
  </si>
  <si>
    <t>-4185871.661</t>
  </si>
  <si>
    <t>1886293.365</t>
  </si>
  <si>
    <t>4028037.015</t>
  </si>
  <si>
    <t>8598675.239</t>
  </si>
  <si>
    <t>5786647.109</t>
  </si>
  <si>
    <t>-505928.0901</t>
  </si>
  <si>
    <t>5911857.844</t>
  </si>
  <si>
    <t>3298491.015</t>
  </si>
  <si>
    <t>9911122.762</t>
  </si>
  <si>
    <t>5651533.082</t>
  </si>
  <si>
    <t>3828478.482</t>
  </si>
  <si>
    <t>-8675062.523</t>
  </si>
  <si>
    <t>-12179293.06</t>
  </si>
  <si>
    <t>-5816605.051</t>
  </si>
  <si>
    <t>-3044409.634</t>
  </si>
  <si>
    <t>23577408.42</t>
  </si>
  <si>
    <t>11527160.97</t>
  </si>
  <si>
    <t>11701439.71</t>
  </si>
  <si>
    <t>12039564.61</t>
  </si>
  <si>
    <t>58.737</t>
  </si>
  <si>
    <t>12.103</t>
  </si>
  <si>
    <t>Ha</t>
  </si>
  <si>
    <t>29.907</t>
  </si>
  <si>
    <t>Acres</t>
  </si>
  <si>
    <t xml:space="preserve">     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</si>
</sst>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0"/>
    <numFmt numFmtId="165" formatCode="0.000"/>
    <numFmt numFmtId="166" formatCode="#,##0.000"/>
    <numFmt numFmtId="167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 rightToLeft="0"/>
  </sheetViews>
  <cols>
    <col min="1" max="1" customWidth="1" width="9.14"/>
    <col min="2" max="2" customWidth="1" width="9.14"/>
    <col min="3" max="3" customWidth="1" width="9.14"/>
    <col min="4" max="4" customWidth="1" width="9.14"/>
    <col min="5" max="5" customWidth="1" width="9.14"/>
    <col min="6" max="6" customWidth="1" width="9.14"/>
    <col min="7" max="7" customWidth="1" width="9.14"/>
    <col min="8" max="8" customWidth="1" width="9.14"/>
    <col min="9" max="9" customWidth="1" width="9.14"/>
    <col min="10" max="10" customWidth="1" width="9.14"/>
    <col min="11" max="11" customWidth="1" width="8"/>
  </cols>
  <sheetData>
    <row r="1" ht="18" customHeight="1">
      <c r="D1" t="s">
        <v>0</v>
      </c>
    </row>
    <row r="2" ht="18" customHeight="1"/>
    <row r="3" ht="18" customHeight="1"/>
    <row r="4" ht="18" customHeight="1">
      <c r="B4" t="s">
        <v>1</v>
      </c>
      <c r="I4" t="s">
        <v>2</v>
      </c>
    </row>
    <row r="5" ht="18" customHeight="1"/>
    <row r="6" ht="18" customHeight="1">
      <c r="A6">
        <v>1</v>
      </c>
      <c r="B6" t="s">
        <v>3</v>
      </c>
      <c r="I6">
        <v>1</v>
      </c>
    </row>
    <row r="7" ht="18" customHeight="1">
      <c r="A7">
        <v>2</v>
      </c>
      <c r="B7" t="s">
        <v>4</v>
      </c>
      <c r="I7">
        <v>2</v>
      </c>
    </row>
    <row r="8" ht="18" customHeight="1">
      <c r="A8">
        <v>3</v>
      </c>
      <c r="B8" t="s">
        <v>5</v>
      </c>
      <c r="I8">
        <v>3</v>
      </c>
    </row>
    <row r="9" ht="18" customHeight="1">
      <c r="A9">
        <v>4</v>
      </c>
      <c r="B9" t="s">
        <v>6</v>
      </c>
      <c r="I9">
        <v>4</v>
      </c>
    </row>
    <row r="10" ht="18" customHeight="1">
      <c r="A10">
        <v>5</v>
      </c>
      <c r="B10" t="s">
        <v>7</v>
      </c>
      <c r="I10">
        <v>5</v>
      </c>
    </row>
    <row r="11" ht="18" customHeight="1">
      <c r="A11">
        <v>6</v>
      </c>
      <c r="B11" t="s">
        <v>8</v>
      </c>
      <c r="I11">
        <v>6</v>
      </c>
    </row>
    <row r="12" ht="18" customHeight="1">
      <c r="A12">
        <v>7</v>
      </c>
      <c r="B12" t="s">
        <v>9</v>
      </c>
      <c r="I12">
        <v>8</v>
      </c>
    </row>
    <row r="13" ht="18" customHeight="1">
      <c r="A13">
        <v>8</v>
      </c>
      <c r="B13" t="s">
        <v>10</v>
      </c>
      <c r="I13">
        <v>9</v>
      </c>
    </row>
    <row r="14" ht="18" customHeight="1">
      <c r="A14">
        <v>9</v>
      </c>
      <c r="B14" t="s">
        <v>11</v>
      </c>
      <c r="I14">
        <v>10</v>
      </c>
    </row>
    <row r="15" ht="18" customHeight="1">
      <c r="A15">
        <v>10</v>
      </c>
      <c r="B15" t="s">
        <v>12</v>
      </c>
      <c r="I15">
        <v>19</v>
      </c>
    </row>
    <row r="16" ht="18" customHeight="1">
      <c r="A16">
        <v>11</v>
      </c>
      <c r="B16" t="s">
        <v>13</v>
      </c>
      <c r="I16">
        <v>21</v>
      </c>
    </row>
    <row r="17" ht="18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1">
    <mergeCell ref="B11:H11"/>
    <mergeCell ref="B12:H12"/>
    <mergeCell ref="B7:H7"/>
    <mergeCell ref="B6:H6"/>
    <mergeCell ref="B14:H14"/>
    <mergeCell ref="B15:H15"/>
    <mergeCell ref="B16:H16"/>
    <mergeCell ref="B8:H8"/>
    <mergeCell ref="B9:H9"/>
    <mergeCell ref="B10:H10"/>
    <mergeCell ref="B13:H13"/>
  </mergeCells>
  <pageMargins left="0.7" right="0.7" top="0.75" bottom="0.75" header="0" footer="0"/>
  <ignoredErrors>
    <ignoredError numberStoredAsText="1" sqref="A1:K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customWidth="1" width="8"/>
    <col min="2" max="2" customWidth="1" width="8"/>
    <col min="3" max="3" customWidth="1" width="8"/>
    <col min="4" max="4" customWidth="1" width="8"/>
    <col min="5" max="5" customWidth="1" width="8"/>
    <col min="6" max="6" customWidth="1" width="8"/>
  </cols>
  <sheetData/>
  <pageMargins left="0.7" right="0.7" top="0.75" bottom="0.75" header="0" footer="0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cols>
    <col min="1" max="1" customWidth="1" width="9.14"/>
    <col min="2" max="2" customWidth="1" width="9.14"/>
    <col min="3" max="3" customWidth="1" width="9.14"/>
    <col min="4" max="4" customWidth="1" width="9.14"/>
    <col min="5" max="5" customWidth="1" width="9.14"/>
    <col min="6" max="6" customWidth="1" width="9.14"/>
    <col min="7" max="7" customWidth="1" width="9.14"/>
    <col min="8" max="8" customWidth="1" width="9.14"/>
    <col min="9" max="9" customWidth="1" width="10.57"/>
    <col min="10" max="10" customWidth="1" width="9.14"/>
    <col min="11" max="11" customWidth="1" width="9.14"/>
    <col min="12" max="12" customWidth="1" width="9.14"/>
    <col min="13" max="13" customWidth="1" width="9.14"/>
    <col min="14" max="14" customWidth="1" width="9.14"/>
    <col min="15" max="15" customWidth="1" width="9.14"/>
    <col min="16" max="16" customWidth="1" width="9.14"/>
    <col min="17" max="17" customWidth="1" width="9.14"/>
    <col min="18" max="18" customWidth="1" width="9.14"/>
    <col min="19" max="19" customWidth="1" width="9.14"/>
  </cols>
  <sheetData>
    <row r="1" hidden="1" ht="12.75" customHeight="1"/>
    <row r="2" hidden="1" ht="13.5" customHeight="1"/>
    <row r="3" hidden="1" ht="13.5" customHeight="1">
      <c r="B3" t="s">
        <v>14</v>
      </c>
    </row>
    <row r="4" hidden="1" ht="12.75" customHeight="1"/>
    <row r="5" hidden="1" ht="12.75" customHeight="1"/>
    <row r="6" hidden="1" ht="12.75" customHeight="1">
      <c r="B6" t="s">
        <v>15</v>
      </c>
    </row>
    <row r="7" hidden="1" ht="12.75" customHeight="1">
      <c r="B7" t="s">
        <v>16</v>
      </c>
    </row>
    <row r="8" hidden="1" ht="12.75" customHeight="1"/>
    <row r="9" hidden="1" ht="12.75" customHeight="1"/>
    <row r="10" hidden="1" ht="12.75" customHeight="1">
      <c r="B10" t="s">
        <v>17</v>
      </c>
      <c r="G10">
        <v>0.4531</v>
      </c>
    </row>
    <row r="11" hidden="1" ht="12.75" customHeight="1"/>
    <row r="12" hidden="1" ht="12.75" customHeight="1">
      <c r="B12" t="s">
        <v>18</v>
      </c>
      <c r="G12">
        <v>-0.215</v>
      </c>
    </row>
    <row r="13" hidden="1" ht="12.75" customHeight="1"/>
    <row r="14" hidden="1" ht="12.75" customHeight="1">
      <c r="B14" t="s">
        <v>19</v>
      </c>
      <c r="F14" t="s">
        <f>G10+G12</f>
        <v>20</v>
      </c>
    </row>
    <row r="15" hidden="1" ht="12.75" customHeight="1"/>
    <row r="16" hidden="1" ht="12.75" customHeight="1"/>
    <row r="17" hidden="1" ht="12.75" customHeight="1">
      <c r="C17" t="s">
        <v>21</v>
      </c>
      <c r="D17" t="s">
        <f>1+F14/1000</f>
        <v>22</v>
      </c>
    </row>
    <row r="18" hidden="1" ht="12.75" customHeight="1"/>
    <row r="19" hidden="1" ht="12.75" customHeight="1"/>
    <row r="20" hidden="1" ht="12.75" customHeight="1"/>
    <row r="21" hidden="1" ht="12.75" customHeight="1"/>
    <row r="22" hidden="1" ht="12.75" customHeight="1"/>
    <row r="23" hidden="1" ht="12.75" customHeight="1"/>
    <row r="24" hidden="1" ht="15" customHeight="1">
      <c r="B24" t="s">
        <v>23</v>
      </c>
      <c r="C24" t="s">
        <v>24</v>
      </c>
    </row>
    <row r="25" hidden="1" ht="15.75" customHeight="1">
      <c r="C25" t="s">
        <v>25</v>
      </c>
    </row>
    <row r="26" hidden="1" ht="13.5" customHeight="1"/>
    <row r="27" ht="12.75" customHeight="1"/>
    <row r="28" ht="12.75" customHeight="1"/>
    <row r="29" hidden="1" ht="15.75" customHeight="1">
      <c r="G29" t="s">
        <v>26</v>
      </c>
    </row>
    <row r="30" hidden="1" ht="15" customHeight="1"/>
    <row r="31" hidden="1" ht="15" customHeight="1"/>
    <row r="32" hidden="1" ht="15.75" customHeight="1">
      <c r="E32" t="s">
        <v>27</v>
      </c>
    </row>
    <row r="33" hidden="1" ht="15.75" customHeight="1">
      <c r="E33" t="s">
        <v>28</v>
      </c>
    </row>
    <row r="34" hidden="1" ht="15.75" customHeight="1">
      <c r="E34" t="s">
        <v>29</v>
      </c>
    </row>
    <row r="35" hidden="1" ht="18" customHeight="1"/>
    <row r="36" hidden="1" ht="18" customHeight="1">
      <c r="E36" t="s">
        <v>30</v>
      </c>
      <c r="H36" t="s">
        <v>31</v>
      </c>
      <c r="I36">
        <v>1220</v>
      </c>
      <c r="J36" t="s">
        <v>32</v>
      </c>
    </row>
    <row r="37" hidden="1" ht="18" customHeight="1"/>
    <row r="38" hidden="1" ht="18" customHeight="1">
      <c r="E38" t="s">
        <v>33</v>
      </c>
      <c r="H38" t="s">
        <v>31</v>
      </c>
      <c r="I38" s="1">
        <v>-0.1911</v>
      </c>
    </row>
    <row r="39" hidden="1" ht="18" customHeight="1"/>
    <row r="40" hidden="1" ht="18" customHeight="1">
      <c r="E40" t="s">
        <v>34</v>
      </c>
      <c r="H40" t="s">
        <v>31</v>
      </c>
      <c r="I40" s="1">
        <v>-0.3737</v>
      </c>
    </row>
    <row r="41" hidden="1" ht="18" customHeight="1"/>
    <row r="42" hidden="1" ht="18" customHeight="1">
      <c r="E42" t="s">
        <v>35</v>
      </c>
      <c r="H42" t="s">
        <v>31</v>
      </c>
      <c r="I42" s="1" t="s">
        <f>I38+I40</f>
        <v>36</v>
      </c>
    </row>
    <row r="43" hidden="1" ht="18" customHeight="1"/>
    <row r="44" hidden="1" ht="18" customHeight="1">
      <c r="E44" t="s">
        <v>37</v>
      </c>
      <c r="H44" t="s">
        <v>31</v>
      </c>
      <c r="I44" t="s">
        <f>(1+I42/1000)</f>
        <v>38</v>
      </c>
    </row>
    <row r="45" hidden="1" ht="15.75" customHeight="1"/>
    <row r="46" hidden="1" ht="13.5" customHeight="1">
      <c r="E46" t="s">
        <v>23</v>
      </c>
    </row>
    <row r="47" hidden="1" ht="13.5" customHeight="1">
      <c r="E47" t="s">
        <v>39</v>
      </c>
    </row>
    <row r="48" hidden="1" ht="13.5" customHeight="1">
      <c r="E48" t="s">
        <v>40</v>
      </c>
    </row>
    <row r="49" hidden="1" ht="12.75" customHeight="1"/>
    <row r="50" hidden="1" ht="12.75" customHeight="1"/>
    <row r="51" hidden="1" ht="12.75" customHeight="1"/>
    <row r="52" hidden="1" ht="12.75" customHeight="1"/>
    <row r="53" hidden="1" ht="12.75" customHeight="1"/>
    <row r="54" hidden="1" ht="12.75" customHeight="1"/>
    <row r="55" hidden="1" ht="12.75" customHeight="1"/>
    <row r="56" hidden="1" ht="18" customHeight="1">
      <c r="L56" t="s">
        <v>26</v>
      </c>
    </row>
    <row r="57" hidden="1" ht="15" customHeight="1"/>
    <row r="58" hidden="1" ht="15" customHeight="1"/>
    <row r="59" hidden="1" ht="15.75" customHeight="1">
      <c r="J59" t="s">
        <v>27</v>
      </c>
    </row>
    <row r="60" hidden="1" ht="15.75" customHeight="1">
      <c r="J60" t="s">
        <v>28</v>
      </c>
    </row>
    <row r="61" hidden="1" ht="15.75" customHeight="1">
      <c r="J61" t="s">
        <v>29</v>
      </c>
    </row>
    <row r="62" hidden="1" ht="18" customHeight="1"/>
    <row r="63" hidden="1" ht="18" customHeight="1">
      <c r="J63" t="s">
        <v>30</v>
      </c>
      <c r="M63" t="s">
        <v>31</v>
      </c>
      <c r="N63">
        <v>1220</v>
      </c>
      <c r="O63" t="s">
        <v>32</v>
      </c>
    </row>
    <row r="64" hidden="1" ht="18" customHeight="1"/>
    <row r="65" hidden="1" ht="18" customHeight="1">
      <c r="J65" t="s">
        <v>33</v>
      </c>
      <c r="M65" t="s">
        <v>31</v>
      </c>
      <c r="N65" s="1">
        <v>-0.1911</v>
      </c>
    </row>
    <row r="66" hidden="1" ht="18" customHeight="1"/>
    <row r="67" hidden="1" ht="18" customHeight="1">
      <c r="J67" t="s">
        <v>34</v>
      </c>
      <c r="M67" t="s">
        <v>31</v>
      </c>
      <c r="N67" s="1">
        <v>-0.3737</v>
      </c>
    </row>
    <row r="68" hidden="1" ht="18" customHeight="1"/>
    <row r="69" hidden="1" ht="18" customHeight="1">
      <c r="J69" t="s">
        <v>35</v>
      </c>
      <c r="M69" t="s">
        <v>31</v>
      </c>
      <c r="N69" s="1" t="s">
        <f>N65+N67</f>
        <v>36</v>
      </c>
    </row>
    <row r="70" hidden="1" ht="18" customHeight="1"/>
    <row r="71" hidden="1" ht="18" customHeight="1">
      <c r="J71" t="s">
        <v>37</v>
      </c>
      <c r="M71" t="s">
        <v>31</v>
      </c>
      <c r="N71" t="s">
        <f>(1+N69/1000)</f>
        <v>38</v>
      </c>
    </row>
    <row r="72" hidden="1" ht="15.75" customHeight="1"/>
    <row r="73" hidden="1" ht="13.5" customHeight="1">
      <c r="J73" t="s">
        <v>23</v>
      </c>
    </row>
    <row r="74" hidden="1" ht="13.5" customHeight="1">
      <c r="J74" t="s">
        <v>39</v>
      </c>
    </row>
    <row r="75" hidden="1" ht="13.5" customHeight="1">
      <c r="J75" t="s">
        <v>40</v>
      </c>
    </row>
    <row r="76" hidden="1" ht="12.75" customHeight="1"/>
    <row r="77" hidden="1" ht="12.75" customHeight="1"/>
    <row r="78" ht="13.5" customHeight="1"/>
    <row r="79" ht="13.5" customHeight="1"/>
    <row r="80" ht="18" customHeight="1">
      <c r="D80" t="s">
        <v>26</v>
      </c>
    </row>
    <row r="81" ht="15" customHeight="1"/>
    <row r="82" ht="15" customHeight="1"/>
    <row r="83" ht="14.25" customHeight="1">
      <c r="B83" t="s">
        <v>41</v>
      </c>
    </row>
    <row r="84" ht="14.25" customHeight="1">
      <c r="B84" t="s">
        <v>42</v>
      </c>
    </row>
    <row r="85" ht="14.25" customHeight="1">
      <c r="B85" t="s">
        <v>29</v>
      </c>
    </row>
    <row r="86" ht="18" customHeight="1"/>
    <row r="87" ht="18" customHeight="1">
      <c r="B87" t="s">
        <v>30</v>
      </c>
      <c r="E87" t="s">
        <v>31</v>
      </c>
      <c r="F87">
        <v>1220</v>
      </c>
      <c r="G87" t="s">
        <v>43</v>
      </c>
    </row>
    <row r="88" ht="18" customHeight="1"/>
    <row r="89" ht="18" customHeight="1">
      <c r="B89" t="s">
        <v>33</v>
      </c>
      <c r="E89" t="s">
        <v>31</v>
      </c>
      <c r="F89" s="1">
        <v>-0.1911</v>
      </c>
    </row>
    <row r="90" ht="18" customHeight="1"/>
    <row r="91" ht="18" customHeight="1">
      <c r="B91" t="s">
        <v>34</v>
      </c>
      <c r="E91" t="s">
        <v>31</v>
      </c>
      <c r="F91" s="1">
        <v>-0.3737</v>
      </c>
    </row>
    <row r="92" ht="18" customHeight="1"/>
    <row r="93" ht="18" customHeight="1">
      <c r="B93" t="s">
        <v>35</v>
      </c>
      <c r="E93" t="s">
        <v>31</v>
      </c>
      <c r="F93" s="1" t="s">
        <f>F89+F91</f>
        <v>36</v>
      </c>
    </row>
    <row r="94" ht="18" customHeight="1"/>
    <row r="95" ht="18" customHeight="1">
      <c r="B95" t="s">
        <v>37</v>
      </c>
      <c r="E95" t="s">
        <v>31</v>
      </c>
      <c r="F95" t="s">
        <f>(1+F93/1000)</f>
        <v>38</v>
      </c>
    </row>
    <row r="96" ht="15.75" customHeight="1"/>
    <row r="97" ht="13.5" customHeight="1">
      <c r="B97" t="s">
        <v>23</v>
      </c>
    </row>
    <row r="98" ht="13.5" customHeight="1">
      <c r="B98" t="s">
        <v>39</v>
      </c>
    </row>
    <row r="99" ht="13.5" customHeight="1">
      <c r="B99" t="s">
        <v>40</v>
      </c>
    </row>
    <row r="100" ht="13.5" customHeight="1"/>
    <row r="101" ht="13.5" customHeight="1"/>
  </sheetData>
  <mergeCells count="29">
    <mergeCell ref="E36:G36"/>
    <mergeCell ref="J36:K36"/>
    <mergeCell ref="E40:G40"/>
    <mergeCell ref="E42:G42"/>
    <mergeCell ref="E44:G44"/>
    <mergeCell ref="E48:N48"/>
    <mergeCell ref="E47:N47"/>
    <mergeCell ref="C24:J24"/>
    <mergeCell ref="G29:K29"/>
    <mergeCell ref="E38:G38"/>
    <mergeCell ref="J67:L67"/>
    <mergeCell ref="J69:L69"/>
    <mergeCell ref="J71:L71"/>
    <mergeCell ref="J74:S74"/>
    <mergeCell ref="J75:S75"/>
    <mergeCell ref="O63:P63"/>
    <mergeCell ref="J65:L65"/>
    <mergeCell ref="L56:P56"/>
    <mergeCell ref="J63:L63"/>
    <mergeCell ref="B87:D87"/>
    <mergeCell ref="B89:D89"/>
    <mergeCell ref="B93:D93"/>
    <mergeCell ref="B95:D95"/>
    <mergeCell ref="B98:I98"/>
    <mergeCell ref="B83:I83"/>
    <mergeCell ref="B84:I84"/>
    <mergeCell ref="B85:C85"/>
    <mergeCell ref="G87:H87"/>
    <mergeCell ref="B91:D91"/>
  </mergeCells>
  <pageMargins left="0.7" right="0.7" top="0.75" bottom="0.75" header="0" footer="0"/>
  <ignoredErrors>
    <ignoredError numberStoredAsText="1" sqref="A1:S10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D3:H100"/>
  <sheetViews>
    <sheetView workbookViewId="0" rightToLeft="0"/>
  </sheetViews>
  <cols>
    <col min="1" max="1" customWidth="1" width="8"/>
    <col min="2" max="2" customWidth="1" width="8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</cols>
  <sheetData>
    <row r="3" ht="20.25" customHeight="1">
      <c r="D3" t="s">
        <v>44</v>
      </c>
    </row>
    <row r="4" ht="15.75" customHeight="1">
      <c r="D4" t="s">
        <v>45</v>
      </c>
      <c r="E4" t="s">
        <v>46</v>
      </c>
      <c r="G4" t="s">
        <v>47</v>
      </c>
    </row>
    <row r="5">
      <c r="D5" t="s">
        <v>48</v>
      </c>
      <c r="E5">
        <v>45895.954</v>
      </c>
      <c r="G5">
        <v>210949.513</v>
      </c>
    </row>
    <row r="6">
      <c r="D6" t="s">
        <v>49</v>
      </c>
      <c r="E6">
        <v>45877.617999999995</v>
      </c>
      <c r="G6">
        <v>210925.20500000002</v>
      </c>
    </row>
    <row r="7">
      <c r="D7" t="s">
        <v>50</v>
      </c>
      <c r="E7">
        <v>45870.528999999995</v>
      </c>
      <c r="G7">
        <v>210920.108</v>
      </c>
    </row>
    <row r="8">
      <c r="D8" t="s">
        <v>51</v>
      </c>
      <c r="E8">
        <v>45832.708999999995</v>
      </c>
      <c r="G8">
        <v>210947.25</v>
      </c>
    </row>
    <row r="9">
      <c r="D9" t="s">
        <v>52</v>
      </c>
      <c r="E9">
        <v>45825.057</v>
      </c>
      <c r="G9">
        <v>210953.831</v>
      </c>
    </row>
    <row r="10">
      <c r="D10" t="s">
        <v>53</v>
      </c>
      <c r="E10">
        <v>45815.564</v>
      </c>
      <c r="G10">
        <v>210942.528</v>
      </c>
    </row>
    <row r="11">
      <c r="D11" t="s">
        <v>54</v>
      </c>
      <c r="E11">
        <v>45799.001</v>
      </c>
      <c r="G11">
        <v>210933.987</v>
      </c>
    </row>
    <row r="12">
      <c r="D12" t="s">
        <v>55</v>
      </c>
      <c r="E12">
        <v>45785.763</v>
      </c>
      <c r="G12">
        <v>210921.616</v>
      </c>
    </row>
    <row r="13">
      <c r="D13" t="s">
        <v>56</v>
      </c>
      <c r="E13">
        <v>45790.378</v>
      </c>
      <c r="G13">
        <v>210928.682</v>
      </c>
    </row>
    <row r="14">
      <c r="D14" t="s">
        <v>57</v>
      </c>
      <c r="E14">
        <v>45805.106999999996</v>
      </c>
      <c r="G14">
        <v>210910.328</v>
      </c>
    </row>
    <row r="15">
      <c r="D15" t="s">
        <v>58</v>
      </c>
      <c r="E15">
        <v>45794.092</v>
      </c>
      <c r="G15">
        <v>210899.829</v>
      </c>
    </row>
    <row r="16">
      <c r="D16" t="s">
        <v>59</v>
      </c>
      <c r="E16">
        <v>45788.358</v>
      </c>
      <c r="G16">
        <v>210887.158</v>
      </c>
    </row>
    <row r="17">
      <c r="D17" t="s">
        <v>60</v>
      </c>
      <c r="E17">
        <v>45774.261999999995</v>
      </c>
      <c r="G17">
        <v>210852.583</v>
      </c>
    </row>
    <row r="18">
      <c r="D18" t="s">
        <v>61</v>
      </c>
      <c r="E18">
        <v>45751.134</v>
      </c>
      <c r="G18">
        <v>210806.435</v>
      </c>
    </row>
    <row r="19">
      <c r="D19" t="s">
        <v>62</v>
      </c>
      <c r="E19">
        <v>45812.674</v>
      </c>
      <c r="G19">
        <v>210783.798</v>
      </c>
    </row>
    <row r="20">
      <c r="D20" t="s">
        <v>63</v>
      </c>
      <c r="E20">
        <v>45772.979</v>
      </c>
      <c r="G20">
        <v>210561.217</v>
      </c>
    </row>
    <row r="21" ht="15.75" customHeight="1">
      <c r="D21" t="s">
        <v>64</v>
      </c>
      <c r="E21">
        <v>45772.111</v>
      </c>
      <c r="G21">
        <v>210536.342</v>
      </c>
    </row>
    <row r="22" ht="15.75" customHeight="1">
      <c r="D22" t="s">
        <v>65</v>
      </c>
      <c r="E22">
        <v>45785.731999999996</v>
      </c>
      <c r="G22">
        <v>210486.748</v>
      </c>
    </row>
    <row r="23" ht="15.75" customHeight="1">
      <c r="D23" t="s">
        <v>66</v>
      </c>
      <c r="E23">
        <v>45756.138999999996</v>
      </c>
      <c r="G23">
        <v>210473.939</v>
      </c>
    </row>
    <row r="24" ht="15.75" customHeight="1">
      <c r="D24" t="s">
        <v>67</v>
      </c>
      <c r="E24">
        <v>45737.111</v>
      </c>
      <c r="G24">
        <v>210465.733</v>
      </c>
    </row>
    <row r="25" ht="15.75" customHeight="1">
      <c r="D25" t="s">
        <v>68</v>
      </c>
      <c r="E25">
        <v>45742.481999999996</v>
      </c>
      <c r="G25">
        <v>210406.828</v>
      </c>
    </row>
    <row r="26" ht="15.75" customHeight="1">
      <c r="D26" t="s">
        <v>69</v>
      </c>
      <c r="E26">
        <v>45781.176999999996</v>
      </c>
      <c r="G26">
        <v>210412.141</v>
      </c>
    </row>
    <row r="27" ht="15.75" customHeight="1">
      <c r="D27" t="s">
        <v>70</v>
      </c>
      <c r="E27">
        <v>45827.483</v>
      </c>
      <c r="G27">
        <v>210420.06</v>
      </c>
    </row>
    <row r="28" ht="15.75" customHeight="1">
      <c r="D28" t="s">
        <v>71</v>
      </c>
      <c r="E28">
        <v>45829.379</v>
      </c>
      <c r="G28">
        <v>210426.103</v>
      </c>
    </row>
    <row r="29" ht="15.75" customHeight="1">
      <c r="D29" t="s">
        <v>72</v>
      </c>
      <c r="E29">
        <v>45836.362</v>
      </c>
      <c r="G29">
        <v>210438.057</v>
      </c>
    </row>
    <row r="30" ht="15.75" customHeight="1">
      <c r="D30" t="s">
        <v>73</v>
      </c>
      <c r="E30">
        <v>45843.148</v>
      </c>
      <c r="G30">
        <v>210449.653</v>
      </c>
    </row>
    <row r="31" ht="15.75" customHeight="1">
      <c r="D31" t="s">
        <v>74</v>
      </c>
      <c r="E31">
        <v>45861.778</v>
      </c>
      <c r="G31">
        <v>210474.71600000001</v>
      </c>
    </row>
    <row r="32" ht="15.75" customHeight="1">
      <c r="D32" t="s">
        <v>75</v>
      </c>
      <c r="E32">
        <v>45861.784999999996</v>
      </c>
      <c r="G32">
        <v>210474.719</v>
      </c>
    </row>
    <row r="33" ht="15.75" customHeight="1">
      <c r="D33" t="s">
        <v>76</v>
      </c>
      <c r="E33">
        <v>45867.744</v>
      </c>
      <c r="G33">
        <v>210481.604</v>
      </c>
    </row>
    <row r="34" ht="15.75" customHeight="1">
      <c r="D34" t="s">
        <v>77</v>
      </c>
      <c r="E34">
        <v>45892.216</v>
      </c>
      <c r="G34">
        <v>210512.366</v>
      </c>
    </row>
    <row r="35" ht="15.75" customHeight="1">
      <c r="D35" t="s">
        <v>78</v>
      </c>
      <c r="E35">
        <v>45902.854999999996</v>
      </c>
      <c r="G35">
        <v>210527.727</v>
      </c>
    </row>
    <row r="36" ht="15.75" customHeight="1">
      <c r="D36" t="s">
        <v>79</v>
      </c>
      <c r="E36">
        <v>45930.133</v>
      </c>
      <c r="G36">
        <v>210555.57200000001</v>
      </c>
    </row>
    <row r="37" ht="15.75" customHeight="1">
      <c r="D37" t="s">
        <v>80</v>
      </c>
      <c r="E37">
        <v>45948.481999999996</v>
      </c>
      <c r="G37">
        <v>210538.112</v>
      </c>
    </row>
    <row r="38" ht="15.75" customHeight="1">
      <c r="D38" t="s">
        <v>81</v>
      </c>
      <c r="E38">
        <v>45963.792</v>
      </c>
      <c r="G38">
        <v>210549.482</v>
      </c>
    </row>
    <row r="39" ht="15.75" customHeight="1">
      <c r="D39" t="s">
        <v>82</v>
      </c>
      <c r="E39">
        <v>45995.842</v>
      </c>
      <c r="G39">
        <v>210507.781</v>
      </c>
    </row>
    <row r="40" ht="15.75" customHeight="1">
      <c r="D40" t="s">
        <v>83</v>
      </c>
      <c r="E40">
        <v>46000.032</v>
      </c>
      <c r="G40">
        <v>210503.247</v>
      </c>
    </row>
    <row r="41" ht="15.75" customHeight="1">
      <c r="D41" t="s">
        <v>84</v>
      </c>
      <c r="E41">
        <v>46016.530999999995</v>
      </c>
      <c r="G41">
        <v>210493.509</v>
      </c>
    </row>
    <row r="42" ht="15.75" customHeight="1">
      <c r="D42" t="s">
        <v>85</v>
      </c>
      <c r="E42">
        <v>46031.441</v>
      </c>
      <c r="G42">
        <v>210473.877</v>
      </c>
    </row>
    <row r="43" ht="15.75" customHeight="1">
      <c r="D43" t="s">
        <v>86</v>
      </c>
      <c r="E43">
        <v>46052.759</v>
      </c>
      <c r="G43">
        <v>210490.987</v>
      </c>
    </row>
    <row r="44" ht="15.75" customHeight="1">
      <c r="D44" t="s">
        <v>87</v>
      </c>
      <c r="E44">
        <v>46071.056</v>
      </c>
      <c r="G44">
        <v>210505.385</v>
      </c>
    </row>
    <row r="45" ht="15.75" customHeight="1">
      <c r="D45" t="s">
        <v>88</v>
      </c>
      <c r="E45">
        <v>46092.64</v>
      </c>
      <c r="G45">
        <v>210520.3</v>
      </c>
    </row>
    <row r="46" ht="15.75" customHeight="1">
      <c r="D46" t="s">
        <v>89</v>
      </c>
      <c r="E46">
        <v>46102.305</v>
      </c>
      <c r="G46">
        <v>210512.741</v>
      </c>
    </row>
    <row r="47" ht="15.75" customHeight="1">
      <c r="D47" t="s">
        <v>90</v>
      </c>
      <c r="E47">
        <v>46078.676</v>
      </c>
      <c r="G47">
        <v>210495.055</v>
      </c>
    </row>
    <row r="48" ht="15.75" customHeight="1">
      <c r="D48" t="s">
        <v>91</v>
      </c>
      <c r="E48">
        <v>46098.786</v>
      </c>
      <c r="G48">
        <v>210473.31100000002</v>
      </c>
    </row>
    <row r="49" ht="15.75" customHeight="1">
      <c r="D49" t="s">
        <v>92</v>
      </c>
      <c r="E49">
        <v>46099.693</v>
      </c>
      <c r="G49">
        <v>210473.94</v>
      </c>
    </row>
    <row r="50" ht="15.75" customHeight="1">
      <c r="D50" t="s">
        <v>93</v>
      </c>
      <c r="E50">
        <v>46109.742</v>
      </c>
      <c r="G50">
        <v>210456.958</v>
      </c>
    </row>
    <row r="51" ht="15.75" customHeight="1">
      <c r="D51" t="s">
        <v>94</v>
      </c>
      <c r="E51">
        <v>46117.554</v>
      </c>
      <c r="G51">
        <v>210446.169</v>
      </c>
    </row>
    <row r="52" ht="15.75" customHeight="1">
      <c r="D52" t="s">
        <v>95</v>
      </c>
      <c r="E52">
        <v>46125.323</v>
      </c>
      <c r="G52">
        <v>210437.83000000002</v>
      </c>
    </row>
    <row r="53" ht="15.75" customHeight="1">
      <c r="D53" t="s">
        <v>96</v>
      </c>
      <c r="E53">
        <v>46133.871</v>
      </c>
      <c r="G53">
        <v>210445.914</v>
      </c>
    </row>
    <row r="54" ht="15.75" customHeight="1">
      <c r="D54" t="s">
        <v>97</v>
      </c>
      <c r="E54">
        <v>46160.376</v>
      </c>
      <c r="G54">
        <v>210476.087</v>
      </c>
    </row>
    <row r="55" ht="15.75" customHeight="1">
      <c r="D55" t="s">
        <v>98</v>
      </c>
      <c r="E55">
        <v>46152.216</v>
      </c>
      <c r="G55">
        <v>210479.744</v>
      </c>
    </row>
    <row r="56" ht="15.75" customHeight="1">
      <c r="D56" t="s">
        <v>99</v>
      </c>
      <c r="E56">
        <v>46135.839</v>
      </c>
      <c r="G56">
        <v>210492.333</v>
      </c>
    </row>
    <row r="57" ht="15.75" customHeight="1">
      <c r="D57" t="s">
        <v>100</v>
      </c>
      <c r="E57">
        <v>46100.916</v>
      </c>
      <c r="G57">
        <v>210519.376</v>
      </c>
    </row>
    <row r="58" ht="15.75" customHeight="1">
      <c r="D58" t="s">
        <v>101</v>
      </c>
      <c r="E58">
        <v>46077.344</v>
      </c>
      <c r="G58">
        <v>210537.256</v>
      </c>
    </row>
    <row r="59" ht="15.75" customHeight="1">
      <c r="D59" t="s">
        <v>102</v>
      </c>
      <c r="E59">
        <v>46080.71</v>
      </c>
      <c r="G59">
        <v>210541.656</v>
      </c>
    </row>
    <row r="60" ht="15.75" customHeight="1">
      <c r="D60" t="s">
        <v>103</v>
      </c>
      <c r="E60">
        <v>46057.81</v>
      </c>
      <c r="G60">
        <v>210565.32</v>
      </c>
    </row>
    <row r="61" ht="15.75" customHeight="1">
      <c r="D61" t="s">
        <v>104</v>
      </c>
      <c r="E61">
        <v>46042.246999999996</v>
      </c>
      <c r="G61">
        <v>210565.786</v>
      </c>
    </row>
    <row r="62" ht="15.75" customHeight="1">
      <c r="D62" t="s">
        <v>105</v>
      </c>
      <c r="E62">
        <v>45986.987</v>
      </c>
      <c r="G62">
        <v>210528.326</v>
      </c>
    </row>
    <row r="63" ht="15.75" customHeight="1">
      <c r="D63" t="s">
        <v>106</v>
      </c>
      <c r="E63">
        <v>45966.17</v>
      </c>
      <c r="G63">
        <v>210555.92</v>
      </c>
    </row>
    <row r="64" ht="15.75" customHeight="1">
      <c r="D64" t="s">
        <v>107</v>
      </c>
      <c r="E64">
        <v>45953.320999999996</v>
      </c>
      <c r="G64">
        <v>210580.352</v>
      </c>
    </row>
    <row r="65" ht="15.75" customHeight="1">
      <c r="D65" t="s">
        <v>108</v>
      </c>
      <c r="E65">
        <v>46007.415</v>
      </c>
      <c r="G65">
        <v>210639.457</v>
      </c>
    </row>
    <row r="66" ht="15.75" customHeight="1">
      <c r="D66" t="s">
        <v>109</v>
      </c>
      <c r="E66">
        <v>46084.884</v>
      </c>
      <c r="G66">
        <v>210729.415</v>
      </c>
    </row>
    <row r="67" ht="15.75" customHeight="1">
      <c r="D67" t="s">
        <v>110</v>
      </c>
      <c r="E67">
        <v>46123.233</v>
      </c>
      <c r="G67">
        <v>210778.556</v>
      </c>
    </row>
    <row r="68" ht="15.75" customHeight="1">
      <c r="D68" t="s">
        <v>111</v>
      </c>
      <c r="E68">
        <v>46145.106999999996</v>
      </c>
      <c r="G68">
        <v>210812.512</v>
      </c>
    </row>
    <row r="69" ht="15.75" customHeight="1">
      <c r="D69" t="s">
        <v>112</v>
      </c>
      <c r="E69">
        <v>46044.746999999996</v>
      </c>
      <c r="G69">
        <v>210864.961</v>
      </c>
    </row>
    <row r="70" ht="15.75" customHeight="1">
      <c r="D70" t="s">
        <v>113</v>
      </c>
      <c r="E70">
        <v>45995.864</v>
      </c>
      <c r="G70">
        <v>210891.445</v>
      </c>
    </row>
    <row r="71" ht="15.75" customHeight="1">
      <c r="D71" t="s">
        <v>114</v>
      </c>
      <c r="E71">
        <v>45946.528</v>
      </c>
      <c r="G71">
        <v>210919.641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7">
    <mergeCell ref="E11:F11"/>
    <mergeCell ref="E8:F8"/>
    <mergeCell ref="E9:F9"/>
    <mergeCell ref="E10:F10"/>
    <mergeCell ref="E18:F18"/>
    <mergeCell ref="E5:F5"/>
    <mergeCell ref="E12:F12"/>
    <mergeCell ref="E13:F13"/>
    <mergeCell ref="E14:F14"/>
    <mergeCell ref="E15:F15"/>
    <mergeCell ref="E4:F4"/>
    <mergeCell ref="E16:F16"/>
    <mergeCell ref="E17:F17"/>
    <mergeCell ref="G19:H19"/>
    <mergeCell ref="G18:H18"/>
    <mergeCell ref="E23:F23"/>
    <mergeCell ref="E24:F24"/>
    <mergeCell ref="E25:F25"/>
    <mergeCell ref="E26:F26"/>
    <mergeCell ref="G26:H26"/>
    <mergeCell ref="G25:H25"/>
    <mergeCell ref="G24:H24"/>
    <mergeCell ref="G23:H23"/>
    <mergeCell ref="G15:H15"/>
    <mergeCell ref="G14:H14"/>
    <mergeCell ref="G13:H13"/>
    <mergeCell ref="G12:H12"/>
    <mergeCell ref="G11:H11"/>
    <mergeCell ref="E6:F6"/>
    <mergeCell ref="E7:F7"/>
    <mergeCell ref="G10:H10"/>
    <mergeCell ref="G9:H9"/>
    <mergeCell ref="G8:H8"/>
    <mergeCell ref="G7:H7"/>
    <mergeCell ref="G6:H6"/>
    <mergeCell ref="G4:H4"/>
    <mergeCell ref="D3:H3"/>
    <mergeCell ref="G5:H5"/>
    <mergeCell ref="E22:F22"/>
    <mergeCell ref="G22:H22"/>
    <mergeCell ref="G21:H21"/>
    <mergeCell ref="G20:H20"/>
    <mergeCell ref="G17:H17"/>
    <mergeCell ref="G16:H16"/>
    <mergeCell ref="E19:F19"/>
    <mergeCell ref="E20:F20"/>
    <mergeCell ref="E21:F21"/>
    <mergeCell ref="E66:F66"/>
    <mergeCell ref="E65:F65"/>
    <mergeCell ref="E63:F63"/>
    <mergeCell ref="E64:F64"/>
    <mergeCell ref="E67:F67"/>
    <mergeCell ref="E68:F68"/>
    <mergeCell ref="E69:F69"/>
    <mergeCell ref="E70:F70"/>
    <mergeCell ref="E71:F71"/>
    <mergeCell ref="E57:F57"/>
    <mergeCell ref="E58:F58"/>
    <mergeCell ref="E59:F59"/>
    <mergeCell ref="E60:F60"/>
    <mergeCell ref="E61:F61"/>
    <mergeCell ref="E62:F62"/>
    <mergeCell ref="E50:F50"/>
    <mergeCell ref="E51:F51"/>
    <mergeCell ref="E52:F52"/>
    <mergeCell ref="E53:F53"/>
    <mergeCell ref="E54:F54"/>
    <mergeCell ref="E55:F55"/>
    <mergeCell ref="E56:F5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G36:H36"/>
    <mergeCell ref="G35:H35"/>
    <mergeCell ref="G29:H29"/>
    <mergeCell ref="G28:H28"/>
    <mergeCell ref="G27:H27"/>
    <mergeCell ref="G33:H33"/>
    <mergeCell ref="G32:H32"/>
    <mergeCell ref="G31:H31"/>
    <mergeCell ref="G30:H30"/>
    <mergeCell ref="G40:H40"/>
    <mergeCell ref="G39:H39"/>
    <mergeCell ref="G34:H34"/>
    <mergeCell ref="E37:F37"/>
    <mergeCell ref="E36:F36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G68:H68"/>
    <mergeCell ref="G69:H69"/>
    <mergeCell ref="G62:H62"/>
    <mergeCell ref="G61:H61"/>
    <mergeCell ref="G60:H60"/>
    <mergeCell ref="G59:H59"/>
    <mergeCell ref="G58:H58"/>
    <mergeCell ref="G57:H57"/>
    <mergeCell ref="G56:H56"/>
    <mergeCell ref="G71:H71"/>
    <mergeCell ref="G70:H70"/>
    <mergeCell ref="G67:H67"/>
    <mergeCell ref="G66:H66"/>
    <mergeCell ref="G65:H65"/>
    <mergeCell ref="G64:H64"/>
    <mergeCell ref="G63:H63"/>
    <mergeCell ref="G38:H38"/>
    <mergeCell ref="G37:H37"/>
    <mergeCell ref="G48:H48"/>
    <mergeCell ref="G47:H47"/>
    <mergeCell ref="G46:H46"/>
    <mergeCell ref="G45:H45"/>
    <mergeCell ref="G44:H44"/>
    <mergeCell ref="G43:H43"/>
    <mergeCell ref="G42:H42"/>
    <mergeCell ref="G41:H41"/>
    <mergeCell ref="G55:H55"/>
    <mergeCell ref="G54:H54"/>
    <mergeCell ref="G53:H53"/>
    <mergeCell ref="G52:H52"/>
    <mergeCell ref="G51:H51"/>
    <mergeCell ref="G50:H50"/>
    <mergeCell ref="G49:H49"/>
  </mergeCells>
  <pageMargins left="0.7" right="0.7" top="0.75" bottom="0.75" header="0" footer="0"/>
  <ignoredErrors>
    <ignoredError numberStoredAsText="1" sqref="D3:H1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224"/>
  <sheetViews>
    <sheetView workbookViewId="0" rightToLeft="0"/>
  </sheetViews>
  <cols>
    <col min="1" max="1" customWidth="1" width="10.43"/>
    <col min="2" max="2" customWidth="1" width="11.71"/>
    <col min="3" max="3" customWidth="1" width="11.71"/>
    <col min="4" max="4" customWidth="1" width="9.57"/>
    <col min="5" max="5" customWidth="1" width="9.29"/>
    <col min="6" max="6" customWidth="1" width="9.14" hidden="true"/>
    <col min="7" max="7" customWidth="1" width="9.14" hidden="true"/>
    <col min="8" max="8" customWidth="1" width="4.86"/>
    <col min="9" max="9" customWidth="1" width="4.86"/>
    <col min="10" max="10" customWidth="1" width="4.86"/>
    <col min="11" max="11" customWidth="1" width="9.43"/>
    <col min="12" max="12" customWidth="1" width="10.43"/>
    <col min="13" max="13" customWidth="1" width="11.71"/>
    <col min="14" max="14" customWidth="1" width="11.71"/>
    <col min="15" max="15" customWidth="1" width="10.43"/>
    <col min="16" max="16" customWidth="1" width="11.71"/>
    <col min="17" max="17" customWidth="1" width="11.71"/>
    <col min="18" max="18" customWidth="1" width="9.14"/>
    <col min="19" max="19" customWidth="1" width="9.14"/>
    <col min="20" max="20" customWidth="1" width="10.43"/>
    <col min="21" max="21" customWidth="1" width="11.29"/>
    <col min="22" max="22" customWidth="1" width="11.29"/>
    <col min="23" max="23" customWidth="1" width="11.29"/>
    <col min="24" max="24" customWidth="1" width="11.29"/>
  </cols>
  <sheetData>
    <row r="1" ht="14.25" customHeight="1">
      <c r="A1" t="s">
        <v>115</v>
      </c>
    </row>
    <row r="2" ht="14.25" customHeight="1">
      <c r="A2" t="s">
        <v>45</v>
      </c>
      <c r="B2" s="2" t="s">
        <v>46</v>
      </c>
      <c r="C2" s="2" t="s">
        <v>47</v>
      </c>
    </row>
    <row r="3" ht="14.25" customHeight="1"/>
    <row r="4" ht="14.25" customHeight="1">
      <c r="A4" t="s">
        <v>116</v>
      </c>
      <c r="B4" s="3">
        <v>46203.9</v>
      </c>
      <c r="C4" s="3">
        <v>210775.64</v>
      </c>
      <c r="D4" t="s">
        <v>117</v>
      </c>
    </row>
    <row r="5" ht="14.25" customHeight="1">
      <c r="A5" t="s">
        <v>118</v>
      </c>
      <c r="B5" s="3">
        <v>46145.06</v>
      </c>
      <c r="C5" s="3">
        <v>210808.14</v>
      </c>
      <c r="D5" t="s">
        <v>117</v>
      </c>
    </row>
    <row r="6" ht="14.25" customHeight="1">
      <c r="A6" t="s">
        <v>119</v>
      </c>
      <c r="B6" s="3">
        <v>46098.37</v>
      </c>
      <c r="C6" s="3">
        <v>210744.47</v>
      </c>
      <c r="D6" t="s">
        <v>117</v>
      </c>
    </row>
    <row r="7" ht="14.25" customHeight="1">
      <c r="A7" t="s">
        <v>120</v>
      </c>
      <c r="B7" s="3">
        <v>46162.99</v>
      </c>
      <c r="C7" s="3">
        <v>210703.93</v>
      </c>
      <c r="D7" t="s">
        <v>117</v>
      </c>
    </row>
    <row r="8" ht="14.25" customHeight="1">
      <c r="A8" t="s">
        <v>118</v>
      </c>
      <c r="B8" s="3">
        <v>46145.06</v>
      </c>
      <c r="C8" s="3">
        <v>210808.14</v>
      </c>
      <c r="D8" t="s">
        <v>117</v>
      </c>
    </row>
    <row r="9" ht="14.25" customHeight="1">
      <c r="A9" t="s">
        <v>116</v>
      </c>
      <c r="B9" s="3">
        <v>46203.9</v>
      </c>
      <c r="C9" s="3">
        <v>210775.64</v>
      </c>
      <c r="D9" t="s">
        <v>117</v>
      </c>
    </row>
    <row r="10" ht="14.25" customHeight="1"/>
    <row r="11" ht="14.25" customHeight="1">
      <c r="B11" s="2" t="s">
        <v>121</v>
      </c>
    </row>
    <row r="12" ht="14.25" customHeight="1">
      <c r="A12" t="s">
        <f>A4</f>
        <v>116</v>
      </c>
      <c r="B12" s="3" t="s">
        <f>B4</f>
        <v>122</v>
      </c>
      <c r="C12" s="3" t="s">
        <f>C4</f>
        <v>123</v>
      </c>
      <c r="D12" t="s">
        <v>124</v>
      </c>
      <c r="E12" t="s">
        <v>125</v>
      </c>
      <c r="H12" t="s">
        <v>126</v>
      </c>
      <c r="K12" s="2" t="s">
        <v>127</v>
      </c>
    </row>
    <row r="13" ht="14.25" customHeight="1">
      <c r="A13" t="s">
        <f>A6</f>
        <v>119</v>
      </c>
      <c r="B13" s="3" t="s">
        <f>B6</f>
        <v>128</v>
      </c>
      <c r="C13" s="3" t="s">
        <f>C6</f>
        <v>129</v>
      </c>
      <c r="D13" s="3" t="s">
        <f>B12-B13</f>
        <v>130</v>
      </c>
      <c r="E13" s="3" t="s">
        <f>C12-C13</f>
        <v>131</v>
      </c>
      <c r="F13" t="s">
        <f>ATAN2(D13,E13)*180/PI()</f>
        <v>132</v>
      </c>
      <c r="G13" t="s">
        <f>IF(F13&lt;0,F13+360,F13)</f>
        <v>132</v>
      </c>
      <c r="H13" t="s">
        <f>TRUNC(G13,0)</f>
        <v>133</v>
      </c>
      <c r="I13" t="s">
        <f>TRUNC((G13-H13)*60,0)</f>
        <v>134</v>
      </c>
      <c r="J13" t="s">
        <f>ROUND((G13-H13-I13/60)*3600,0)</f>
        <v>135</v>
      </c>
      <c r="K13" s="3" t="s">
        <f>SQRT(D13^2+E13^2)</f>
        <v>136</v>
      </c>
    </row>
    <row r="14" ht="14.25" customHeight="1"/>
    <row r="15" ht="14.25" customHeight="1">
      <c r="A15" t="s">
        <f>A5</f>
        <v>118</v>
      </c>
      <c r="B15" s="3" t="s">
        <f>B5</f>
        <v>137</v>
      </c>
      <c r="C15" s="3" t="s">
        <f>C5</f>
        <v>138</v>
      </c>
    </row>
    <row r="16" ht="14.25" customHeight="1">
      <c r="A16" t="s">
        <f>A13</f>
        <v>119</v>
      </c>
      <c r="B16" s="3" t="s">
        <f>B13</f>
        <v>128</v>
      </c>
      <c r="C16" s="3" t="s">
        <f>C13</f>
        <v>129</v>
      </c>
      <c r="D16" s="3" t="s">
        <f>B15-B16</f>
        <v>139</v>
      </c>
      <c r="E16" s="3" t="s">
        <f>C15-C16</f>
        <v>140</v>
      </c>
      <c r="F16" t="s">
        <f>ATAN2(D16,E16)*180/PI()</f>
        <v>141</v>
      </c>
      <c r="G16" t="s">
        <f>IF(F16&lt;0,F16+360,F16)</f>
        <v>141</v>
      </c>
      <c r="H16" t="s">
        <f>TRUNC(G16,0)</f>
        <v>142</v>
      </c>
      <c r="I16" t="s">
        <f>TRUNC((G16-H16)*60,0)</f>
        <v>143</v>
      </c>
      <c r="J16" t="s">
        <f>ROUND((G16-H16-I16/60)*3600,0)</f>
        <v>144</v>
      </c>
      <c r="K16" s="3" t="s">
        <f>SQRT(D16^2+E16^2)</f>
        <v>145</v>
      </c>
    </row>
    <row r="17" ht="14.25" customHeight="1"/>
    <row r="18" ht="14.25" customHeight="1"/>
    <row r="19" ht="14.25" customHeight="1">
      <c r="B19" s="2" t="s">
        <v>146</v>
      </c>
    </row>
    <row r="20" ht="14.25" customHeight="1">
      <c r="A20" t="s">
        <f>A8</f>
        <v>118</v>
      </c>
      <c r="B20" s="3" t="s">
        <f>B8</f>
        <v>137</v>
      </c>
      <c r="C20" s="3" t="s">
        <f>C8</f>
        <v>138</v>
      </c>
      <c r="D20" t="s">
        <f>D12</f>
        <v>124</v>
      </c>
      <c r="E20" t="s">
        <f>E12</f>
        <v>125</v>
      </c>
      <c r="H20" t="s">
        <v>126</v>
      </c>
    </row>
    <row r="21" ht="14.25" customHeight="1">
      <c r="A21" t="s">
        <f>A7</f>
        <v>120</v>
      </c>
      <c r="B21" s="3" t="s">
        <f>B7</f>
        <v>147</v>
      </c>
      <c r="C21" s="3" t="s">
        <f>C7</f>
        <v>148</v>
      </c>
      <c r="D21" s="3" t="s">
        <f>B20-B21</f>
        <v>149</v>
      </c>
      <c r="E21" s="3" t="s">
        <f>C20-C21</f>
        <v>150</v>
      </c>
      <c r="F21" t="s">
        <f>ATAN2(D21,E21)*180/PI()</f>
        <v>151</v>
      </c>
      <c r="G21" t="s">
        <f>IF(F21&lt;0,F21+360,F21)</f>
        <v>151</v>
      </c>
      <c r="H21" t="s">
        <f>TRUNC(G21,0)</f>
        <v>152</v>
      </c>
      <c r="I21" t="s">
        <f>TRUNC((G21-H21)*60,0)</f>
        <v>153</v>
      </c>
      <c r="J21" t="s">
        <f>ROUND((G21-H21-I21/60)*3600,0)</f>
        <v>153</v>
      </c>
      <c r="K21" s="3" t="s">
        <f>SQRT(D21^2+E21^2)</f>
        <v>154</v>
      </c>
    </row>
    <row r="22" ht="14.25" customHeight="1"/>
    <row r="23" ht="14.25" customHeight="1">
      <c r="A23" t="s">
        <f>A9</f>
        <v>116</v>
      </c>
      <c r="B23" s="3" t="s">
        <f>B9</f>
        <v>122</v>
      </c>
      <c r="C23" s="3" t="s">
        <f>C9</f>
        <v>123</v>
      </c>
    </row>
    <row r="24" ht="14.25" customHeight="1">
      <c r="A24" t="s">
        <f>A21</f>
        <v>120</v>
      </c>
      <c r="B24" s="3" t="s">
        <f>B21</f>
        <v>147</v>
      </c>
      <c r="C24" s="3" t="s">
        <f>C21</f>
        <v>148</v>
      </c>
      <c r="D24" s="3" t="s">
        <f>B23-B24</f>
        <v>155</v>
      </c>
      <c r="E24" s="3" t="s">
        <f>C23-C24</f>
        <v>156</v>
      </c>
      <c r="F24" t="s">
        <f>ATAN2(D24,E24)*180/PI()</f>
        <v>157</v>
      </c>
      <c r="G24" t="s">
        <f>IF(F24&lt;0,F24+360,F24)</f>
        <v>157</v>
      </c>
      <c r="H24" t="s">
        <f>TRUNC(G24,0)</f>
        <v>158</v>
      </c>
      <c r="I24" t="s">
        <f>TRUNC((G24-H24)*60,0)</f>
        <v>159</v>
      </c>
      <c r="J24" t="s">
        <f>ROUND((G24-H24-I24/60)*3600,0)</f>
        <v>143</v>
      </c>
      <c r="K24" s="3" t="s">
        <f>SQRT(D24^2+E24^2)</f>
        <v>160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</sheetData>
  <mergeCells count="9">
    <mergeCell ref="D4:E4"/>
    <mergeCell ref="D5:E5"/>
    <mergeCell ref="D6:E6"/>
    <mergeCell ref="D7:E7"/>
    <mergeCell ref="D8:E8"/>
    <mergeCell ref="D9:E9"/>
    <mergeCell ref="H12:J12"/>
    <mergeCell ref="H20:J20"/>
    <mergeCell ref="A1:K1"/>
  </mergeCells>
  <pageMargins left="0.7" right="0.7" top="0.75" bottom="0.75" header="0" footer="0"/>
  <ignoredErrors>
    <ignoredError numberStoredAsText="1" sqref="A1:X2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567"/>
  <sheetViews>
    <sheetView workbookViewId="0" rightToLeft="0"/>
  </sheetViews>
  <cols>
    <col min="1" max="1" customWidth="1" width="9.29"/>
    <col min="2" max="2" customWidth="1" width="4.86"/>
    <col min="3" max="3" customWidth="1" width="4.86"/>
    <col min="4" max="4" customWidth="1" width="4.86"/>
    <col min="5" max="5" customWidth="1" width="4.86" hidden="true"/>
    <col min="6" max="6" customWidth="1" width="4.86" hidden="true"/>
    <col min="7" max="7" customWidth="1" width="2.71"/>
    <col min="8" max="8" customWidth="1" width="2.71"/>
    <col min="9" max="9" customWidth="1" width="4.43"/>
    <col min="10" max="10" customWidth="1" width="4.43"/>
    <col min="11" max="11" customWidth="1" width="4.43"/>
    <col min="12" max="12" customWidth="1" width="9.29"/>
    <col min="13" max="13" customWidth="1" width="10.71"/>
    <col min="14" max="14" customWidth="1" width="8.57"/>
    <col min="15" max="15" customWidth="1" width="11.14"/>
  </cols>
  <sheetData>
    <row r="1">
      <c r="A1" t="s">
        <v>45</v>
      </c>
      <c r="B1" t="s">
        <v>161</v>
      </c>
      <c r="G1" t="s">
        <v>162</v>
      </c>
      <c r="I1" t="s">
        <v>163</v>
      </c>
      <c r="M1" t="s">
        <v>164</v>
      </c>
      <c r="N1" t="s">
        <v>45</v>
      </c>
      <c r="O1" s="3" t="s">
        <v>165</v>
      </c>
    </row>
    <row r="2"/>
    <row r="3"/>
    <row r="4"/>
    <row r="5">
      <c r="A5" t="s">
        <v>166</v>
      </c>
    </row>
    <row r="6">
      <c r="M6" t="s">
        <f>INDEX!F95</f>
        <v>38</v>
      </c>
    </row>
    <row r="7">
      <c r="A7" t="s">
        <v>45</v>
      </c>
      <c r="B7" t="s">
        <v>161</v>
      </c>
      <c r="G7" t="s">
        <v>162</v>
      </c>
      <c r="I7" t="s">
        <v>163</v>
      </c>
      <c r="M7" t="s">
        <v>164</v>
      </c>
      <c r="N7" t="s">
        <v>45</v>
      </c>
      <c r="O7" s="3" t="s">
        <v>165</v>
      </c>
    </row>
    <row r="8">
      <c r="K8" t="s">
        <v>167</v>
      </c>
      <c r="L8" t="s">
        <f>TRVS!A11</f>
        <v>119</v>
      </c>
    </row>
    <row r="9">
      <c r="A9" t="s">
        <f>DTM!A12</f>
        <v>116</v>
      </c>
      <c r="B9" t="s">
        <f>TRUNC(F9,0)</f>
        <v>133</v>
      </c>
      <c r="C9" t="s">
        <f>TRUNC((F9-B9)*60,0)</f>
        <v>134</v>
      </c>
      <c r="D9" s="4" t="s">
        <f>ROUND(((F9-B9)-C9/60)*3600,0)</f>
        <v>135</v>
      </c>
      <c r="E9" s="4" t="s">
        <f>F9</f>
        <v>133</v>
      </c>
      <c r="F9" s="4" t="s">
        <f>I9+J9/60+K9/3600-H9/3600</f>
        <v>133</v>
      </c>
      <c r="H9">
        <v>0</v>
      </c>
      <c r="I9" s="4" t="s">
        <f>TRVS!B9</f>
        <v>133</v>
      </c>
      <c r="J9" s="4" t="s">
        <f>TRVS!C9</f>
        <v>134</v>
      </c>
      <c r="K9" s="4" t="s">
        <f>TRVS!D9</f>
        <v>135</v>
      </c>
    </row>
    <row r="10">
      <c r="B10" t="s">
        <f>TRUNC(F10,0)</f>
        <v>168</v>
      </c>
      <c r="C10" t="s">
        <f>TRUNC((F10-B10)*60,0)</f>
        <v>134</v>
      </c>
      <c r="D10" s="4" t="s">
        <f>ROUND(((F10-B10)-C10/60)*3600,0)</f>
        <v>169</v>
      </c>
      <c r="E10" s="4" t="s">
        <f>E9-(B11+C11/60+D11/3600)</f>
        <v>170</v>
      </c>
      <c r="F10" s="4" t="s">
        <f>IF(E10&gt;0,E10,E10+360)</f>
        <v>168</v>
      </c>
    </row>
    <row r="11">
      <c r="B11">
        <v>180</v>
      </c>
      <c r="C11">
        <v>0</v>
      </c>
      <c r="D11" s="4">
        <v>1</v>
      </c>
    </row>
    <row r="12"/>
    <row r="13">
      <c r="A13" t="s">
        <f>DTM!A15</f>
        <v>118</v>
      </c>
      <c r="B13" t="s">
        <f>TRUNC(F13,0)</f>
        <v>142</v>
      </c>
      <c r="C13" t="s">
        <f>TRUNC((F13-B13)*60,0)</f>
        <v>143</v>
      </c>
      <c r="D13" s="4" t="s">
        <f>ROUND(((F13-B13)-C13/60)*3600,0)</f>
        <v>144</v>
      </c>
      <c r="E13" s="4" t="s">
        <f>F13</f>
        <v>171</v>
      </c>
      <c r="F13" s="4" t="s">
        <f>I13+J13/60+K13/3600-(H13+G13)/3600</f>
        <v>171</v>
      </c>
      <c r="G13" t="s">
        <f>ROUND(((B11+C11/60+D11/3600)-(B15+C15/60+D15/3600))/2*3600,0)</f>
        <v>172</v>
      </c>
      <c r="H13">
        <v>0</v>
      </c>
      <c r="I13" s="4" t="s">
        <f>TRVS!B10</f>
        <v>142</v>
      </c>
      <c r="J13" s="4" t="s">
        <f>TRVS!C10</f>
        <v>143</v>
      </c>
      <c r="K13" s="4" t="s">
        <f>TRVS!D10</f>
        <v>144</v>
      </c>
    </row>
    <row r="14">
      <c r="B14" t="s">
        <f>TRUNC(F14,0)</f>
        <v>173</v>
      </c>
      <c r="C14" t="s">
        <f>TRUNC((F14-B14)*60,0)</f>
        <v>143</v>
      </c>
      <c r="D14" s="4" t="s">
        <f>ROUND(((F14-B14)-C14/60)*3600,0)</f>
        <v>174</v>
      </c>
      <c r="E14" s="4" t="s">
        <f>E13-(B15+C15/60+D15/3600)</f>
        <v>175</v>
      </c>
      <c r="F14" s="4" t="s">
        <f>IF(E14&gt;0,E14,E14+360)</f>
        <v>176</v>
      </c>
    </row>
    <row r="15">
      <c r="B15">
        <v>180</v>
      </c>
      <c r="C15">
        <v>0</v>
      </c>
      <c r="D15" s="4">
        <v>1</v>
      </c>
    </row>
    <row r="16"/>
    <row r="17">
      <c r="A17" t="s">
        <f>TRVS!A12</f>
        <v>48</v>
      </c>
      <c r="B17" t="s">
        <f>TRUNC(F17,0)</f>
        <v>177</v>
      </c>
      <c r="C17" t="s">
        <f>TRUNC((F17-B17)*60,0)</f>
        <v>178</v>
      </c>
      <c r="D17" s="4" t="s">
        <f>ROUND(((F17-B17)-C17/60)*3600,0)</f>
        <v>179</v>
      </c>
      <c r="E17" s="4" t="s">
        <f>F17</f>
        <v>180</v>
      </c>
      <c r="F17" s="4" t="s">
        <f>I17+J17/60+K17/3600-(H17+G17)/3600</f>
        <v>180</v>
      </c>
      <c r="G17" t="s">
        <f>ROUND(((B11+C11/60+D11/3600)-(B19+C19/60+D19/3600))/2*3600,0)</f>
        <v>181</v>
      </c>
      <c r="H17" t="s">
        <f>H9</f>
        <v>172</v>
      </c>
      <c r="I17" s="4" t="s">
        <f>TRVS!B12</f>
        <v>177</v>
      </c>
      <c r="J17" s="4" t="s">
        <f>TRVS!C12</f>
        <v>178</v>
      </c>
      <c r="K17" s="4" t="s">
        <f>TRVS!D12</f>
        <v>158</v>
      </c>
      <c r="L17" t="s">
        <f>L8</f>
        <v>119</v>
      </c>
      <c r="M17" s="5" t="s">
        <f>TRVS!L12</f>
        <v>182</v>
      </c>
      <c r="N17" t="s">
        <f>A17</f>
        <v>48</v>
      </c>
      <c r="O17" s="3" t="s">
        <f>M17/$M$6</f>
        <v>183</v>
      </c>
    </row>
    <row r="18">
      <c r="B18" t="s">
        <f>TRUNC(F18,0)</f>
        <v>184</v>
      </c>
      <c r="C18" t="s">
        <f>TRUNC((F18-B18)*60,0)</f>
        <v>185</v>
      </c>
      <c r="D18" s="4" t="s">
        <f>ROUND(((F18-B18)-C18/60)*3600,0)</f>
        <v>186</v>
      </c>
      <c r="E18" s="4" t="s">
        <f>E17-(B19+C19/60+D19/3600)</f>
        <v>187</v>
      </c>
      <c r="F18" s="4" t="s">
        <f>IF(E18&gt;0,E18,E18+360)</f>
        <v>188</v>
      </c>
    </row>
    <row r="19">
      <c r="B19">
        <v>179</v>
      </c>
      <c r="C19">
        <v>59</v>
      </c>
      <c r="D19" s="4">
        <v>55</v>
      </c>
    </row>
    <row r="20">
      <c r="K20" t="s">
        <v>167</v>
      </c>
      <c r="L20" t="s">
        <f>A17</f>
        <v>48</v>
      </c>
    </row>
    <row r="21">
      <c r="A21" t="s">
        <f>L8</f>
        <v>119</v>
      </c>
      <c r="B21" t="s">
        <f>TRUNC(F21,0)</f>
        <v>184</v>
      </c>
      <c r="C21" t="s">
        <f>TRUNC((F21-B21)*60,0)</f>
        <v>178</v>
      </c>
      <c r="D21" s="4" t="s">
        <f>ROUND(((F21-B21)-C21/60)*3600,0)</f>
        <v>179</v>
      </c>
      <c r="E21" s="4" t="s">
        <f>F21</f>
        <v>188</v>
      </c>
      <c r="F21" s="4" t="s">
        <f>I21+J21/60+K21/3600-(H21+G21)/3600</f>
        <v>188</v>
      </c>
      <c r="H21">
        <v>3</v>
      </c>
      <c r="I21" s="4" t="s">
        <f>IF(I17&lt;180,I17+180,I17-180)</f>
        <v>184</v>
      </c>
      <c r="J21" s="4" t="s">
        <f>J17</f>
        <v>178</v>
      </c>
      <c r="K21" s="4" t="s">
        <f>K17</f>
        <v>158</v>
      </c>
    </row>
    <row r="22">
      <c r="B22" t="s">
        <f>TRUNC(F22,0)</f>
        <v>189</v>
      </c>
      <c r="C22" t="s">
        <f>TRUNC((F22-B22)*60,0)</f>
        <v>178</v>
      </c>
      <c r="D22" s="4" t="s">
        <f>ROUND(((F22-B22)-C22/60)*3600,0)</f>
        <v>190</v>
      </c>
      <c r="E22" s="4" t="s">
        <f>E21-(B23+C23/60+D23/3600)</f>
        <v>191</v>
      </c>
      <c r="F22" s="4" t="s">
        <f>IF(E22&gt;0,E22,E22+360)</f>
        <v>191</v>
      </c>
    </row>
    <row r="23">
      <c r="B23">
        <v>200</v>
      </c>
      <c r="C23">
        <v>0</v>
      </c>
      <c r="D23" s="4">
        <v>1</v>
      </c>
    </row>
    <row r="24"/>
    <row r="25">
      <c r="A25" t="s">
        <f>TRVS!A13</f>
        <v>49</v>
      </c>
      <c r="B25" t="s">
        <f>TRUNC(F25,0)</f>
        <v>192</v>
      </c>
      <c r="C25" t="s">
        <f>TRUNC((F25-B25)*60,0)</f>
        <v>193</v>
      </c>
      <c r="D25" s="4" t="s">
        <f>ROUND(((F25-B25)-C25/60)*3600,0)</f>
        <v>194</v>
      </c>
      <c r="E25" s="4" t="s">
        <f>F25</f>
        <v>173</v>
      </c>
      <c r="F25" s="4" t="s">
        <f>I25+J25/60+K25/3600-(H25+G25)/3600</f>
        <v>173</v>
      </c>
      <c r="G25" t="s">
        <f>ROUND(((B23+C23/60+D23/3600)-(B27+C27/60+D27/3600))/2*3600,0)</f>
        <v>195</v>
      </c>
      <c r="H25" t="s">
        <f>H21</f>
        <v>181</v>
      </c>
      <c r="I25" s="4" t="s">
        <f>TRVS!B13</f>
        <v>192</v>
      </c>
      <c r="J25" s="4" t="s">
        <f>TRVS!C13</f>
        <v>193</v>
      </c>
      <c r="K25" s="4" t="s">
        <f>TRVS!D13</f>
        <v>133</v>
      </c>
      <c r="L25" t="s">
        <f>L20</f>
        <v>48</v>
      </c>
      <c r="M25" s="5" t="s">
        <f>TRVS!L13</f>
        <v>196</v>
      </c>
      <c r="N25" t="s">
        <f>A25</f>
        <v>49</v>
      </c>
      <c r="O25" s="3" t="s">
        <f>M25/$M$6</f>
        <v>197</v>
      </c>
    </row>
    <row r="26">
      <c r="B26" t="s">
        <f>TRUNC(F26,0)</f>
        <v>198</v>
      </c>
      <c r="C26" t="s">
        <f>TRUNC((F26-B26)*60,0)</f>
        <v>193</v>
      </c>
      <c r="D26" s="4" t="s">
        <f>ROUND(((F26-B26)-C26/60)*3600,0)</f>
        <v>199</v>
      </c>
      <c r="E26" s="4" t="s">
        <f>E25-(B27+C27/60+D27/3600)</f>
        <v>200</v>
      </c>
      <c r="F26" s="4" t="s">
        <f>IF(E26&gt;0,E26,E26+360)</f>
        <v>200</v>
      </c>
    </row>
    <row r="27">
      <c r="B27">
        <v>200</v>
      </c>
      <c r="C27">
        <v>0</v>
      </c>
      <c r="D27" s="4">
        <v>2</v>
      </c>
    </row>
    <row r="28">
      <c r="K28" t="s">
        <v>167</v>
      </c>
      <c r="L28" t="s">
        <f>A25</f>
        <v>49</v>
      </c>
    </row>
    <row r="29">
      <c r="A29" t="s">
        <f>L20</f>
        <v>48</v>
      </c>
      <c r="B29" t="s">
        <f>TRUNC(F29,0)</f>
        <v>201</v>
      </c>
      <c r="C29" t="s">
        <f>TRUNC((F29-B29)*60,0)</f>
        <v>193</v>
      </c>
      <c r="D29" s="4" t="s">
        <f>ROUND(((F29-B29)-C29/60)*3600,0)</f>
        <v>202</v>
      </c>
      <c r="E29" s="4" t="s">
        <f>F29</f>
        <v>142</v>
      </c>
      <c r="F29" s="4" t="s">
        <f>I29+J29/60+K29/3600-(H29+G29)/3600</f>
        <v>142</v>
      </c>
      <c r="H29">
        <v>1</v>
      </c>
      <c r="I29" s="4" t="s">
        <f>IF(I25&lt;180,I25+180,I25-180)</f>
        <v>201</v>
      </c>
      <c r="J29" s="4" t="s">
        <f>J25</f>
        <v>193</v>
      </c>
      <c r="K29" s="4" t="s">
        <f>K25</f>
        <v>133</v>
      </c>
    </row>
    <row r="30">
      <c r="B30" t="s">
        <f>TRUNC(F30,0)</f>
        <v>192</v>
      </c>
      <c r="C30" t="s">
        <f>TRUNC((F30-B30)*60,0)</f>
        <v>193</v>
      </c>
      <c r="D30" s="4" t="s">
        <f>ROUND(((F30-B30)-C30/60)*3600,0)</f>
        <v>194</v>
      </c>
      <c r="E30" s="4" t="s">
        <f>E29-(B31+C31/60+D31/3600)</f>
        <v>203</v>
      </c>
      <c r="F30" s="4" t="s">
        <f>IF(E30&gt;0,E30,E30+360)</f>
        <v>173</v>
      </c>
    </row>
    <row r="31">
      <c r="B31">
        <v>180</v>
      </c>
      <c r="C31">
        <v>0</v>
      </c>
      <c r="D31" s="4">
        <v>1</v>
      </c>
    </row>
    <row r="32"/>
    <row r="33">
      <c r="A33" t="s">
        <f>TRVS!A14</f>
        <v>50</v>
      </c>
      <c r="B33" t="s">
        <f>TRUNC(F33,0)</f>
        <v>204</v>
      </c>
      <c r="C33" t="s">
        <f>TRUNC((F33-B33)*60,0)</f>
        <v>205</v>
      </c>
      <c r="D33" s="4" t="s">
        <f>ROUND(((F33-B33)-C33/60)*3600,0)</f>
        <v>179</v>
      </c>
      <c r="E33" s="4" t="s">
        <f>F33</f>
        <v>206</v>
      </c>
      <c r="F33" s="4" t="s">
        <f>I33+J33/60+K33/3600-(H33+G33)/3600</f>
        <v>206</v>
      </c>
      <c r="G33" t="s">
        <f>ROUND(((B31+C31/60+D31/3600)-(B35+C35/60+D35/3600))/2*3600,0)</f>
        <v>207</v>
      </c>
      <c r="H33" t="s">
        <f>H29</f>
        <v>208</v>
      </c>
      <c r="I33" s="4" t="s">
        <f>TRVS!B14</f>
        <v>204</v>
      </c>
      <c r="J33" s="4" t="s">
        <f>TRVS!C14</f>
        <v>205</v>
      </c>
      <c r="K33" s="4" t="s">
        <f>TRVS!D14</f>
        <v>209</v>
      </c>
      <c r="L33" t="s">
        <f>L28</f>
        <v>49</v>
      </c>
      <c r="M33" s="5" t="s">
        <f>TRVS!L14</f>
        <v>210</v>
      </c>
      <c r="N33" t="s">
        <f>A33</f>
        <v>50</v>
      </c>
      <c r="O33" s="3" t="s">
        <f>M33/$M$6</f>
        <v>211</v>
      </c>
    </row>
    <row r="34">
      <c r="B34" t="s">
        <f>TRUNC(F34,0)</f>
        <v>212</v>
      </c>
      <c r="C34" t="s">
        <f>TRUNC((F34-B34)*60,0)</f>
        <v>205</v>
      </c>
      <c r="D34" s="4" t="s">
        <f>ROUND(((F34-B34)-C34/60)*3600,0)</f>
        <v>213</v>
      </c>
      <c r="E34" s="4" t="s">
        <f>E33-(B35+C35/60+D35/3600)</f>
        <v>214</v>
      </c>
      <c r="F34" s="4" t="s">
        <f>IF(E34&gt;0,E34,E34+360)</f>
        <v>214</v>
      </c>
    </row>
    <row r="35">
      <c r="B35">
        <v>180</v>
      </c>
      <c r="C35">
        <v>0</v>
      </c>
      <c r="D35" s="4">
        <v>7</v>
      </c>
    </row>
    <row r="36">
      <c r="K36" t="s">
        <v>167</v>
      </c>
      <c r="L36" t="s">
        <f>A33</f>
        <v>50</v>
      </c>
    </row>
    <row r="37">
      <c r="A37" t="s">
        <f>L28</f>
        <v>49</v>
      </c>
      <c r="B37" t="s">
        <f>TRUNC(F37,0)</f>
        <v>212</v>
      </c>
      <c r="C37" t="s">
        <f>TRUNC((F37-B37)*60,0)</f>
        <v>205</v>
      </c>
      <c r="D37" s="4" t="s">
        <f>ROUND(((F37-B37)-C37/60)*3600,0)</f>
        <v>190</v>
      </c>
      <c r="E37" s="4" t="s">
        <f>F37</f>
        <v>214</v>
      </c>
      <c r="F37" s="4" t="s">
        <f>I37+J37/60+K37/3600-(H37+G37)/3600</f>
        <v>214</v>
      </c>
      <c r="H37">
        <v>-1</v>
      </c>
      <c r="I37" s="4" t="s">
        <f>IF(I33&lt;180,I33+180,I33-180)</f>
        <v>212</v>
      </c>
      <c r="J37" s="4" t="s">
        <f>J33</f>
        <v>205</v>
      </c>
      <c r="K37" s="4" t="s">
        <f>K33</f>
        <v>209</v>
      </c>
    </row>
    <row r="38">
      <c r="B38" t="s">
        <f>TRUNC(F38,0)</f>
        <v>204</v>
      </c>
      <c r="C38" t="s">
        <f>TRUNC((F38-B38)*60,0)</f>
        <v>205</v>
      </c>
      <c r="D38" s="4" t="s">
        <f>ROUND(((F38-B38)-C38/60)*3600,0)</f>
        <v>171</v>
      </c>
      <c r="E38" s="4" t="s">
        <f>E37-(B39+C39/60+D39/3600)</f>
        <v>215</v>
      </c>
      <c r="F38" s="4" t="s">
        <f>IF(E38&gt;0,E38,E38+360)</f>
        <v>206</v>
      </c>
    </row>
    <row r="39">
      <c r="B39">
        <v>180</v>
      </c>
      <c r="C39">
        <v>0</v>
      </c>
      <c r="D39" s="4">
        <v>2</v>
      </c>
    </row>
    <row r="40"/>
    <row r="41">
      <c r="A41" t="s">
        <f>TRVS!A15</f>
        <v>51</v>
      </c>
      <c r="B41" t="s">
        <f>TRUNC(F41,0)</f>
        <v>216</v>
      </c>
      <c r="C41" t="s">
        <f>TRUNC((F41-B41)*60,0)</f>
        <v>217</v>
      </c>
      <c r="D41" s="4" t="s">
        <f>ROUND(((F41-B41)-C41/60)*3600,0)</f>
        <v>218</v>
      </c>
      <c r="E41" s="4" t="s">
        <f>F41</f>
        <v>216</v>
      </c>
      <c r="F41" s="4" t="s">
        <f>I41+J41/60+K41/3600-(H41+G41)/3600</f>
        <v>216</v>
      </c>
      <c r="G41" t="s">
        <f>ROUND(((B39+C39/60+D39/3600)-(B43+C43/60+D43/3600))/2*3600,0)</f>
        <v>186</v>
      </c>
      <c r="H41" t="s">
        <f>H37</f>
        <v>195</v>
      </c>
      <c r="I41" s="4" t="s">
        <f>TRVS!B15</f>
        <v>216</v>
      </c>
      <c r="J41" s="4" t="s">
        <f>TRVS!C15</f>
        <v>217</v>
      </c>
      <c r="K41" s="4" t="s">
        <f>TRVS!D15</f>
        <v>219</v>
      </c>
      <c r="L41" t="s">
        <f>L36</f>
        <v>50</v>
      </c>
      <c r="M41" s="5" t="s">
        <f>TRVS!L15</f>
        <v>220</v>
      </c>
      <c r="N41" t="s">
        <f>A41</f>
        <v>51</v>
      </c>
      <c r="O41" s="3" t="s">
        <f>M41/$M$6</f>
        <v>221</v>
      </c>
    </row>
    <row r="42">
      <c r="B42" t="s">
        <f>TRUNC(F42,0)</f>
        <v>222</v>
      </c>
      <c r="C42" t="s">
        <f>TRUNC((F42-B42)*60,0)</f>
        <v>217</v>
      </c>
      <c r="D42" s="4" t="s">
        <f>ROUND(((F42-B42)-C42/60)*3600,0)</f>
        <v>223</v>
      </c>
      <c r="E42" s="4" t="s">
        <f>E41-(B43+C43/60+D43/3600)</f>
        <v>224</v>
      </c>
      <c r="F42" s="4" t="s">
        <f>IF(E42&gt;0,E42,E42+360)</f>
        <v>222</v>
      </c>
    </row>
    <row r="43">
      <c r="B43">
        <v>179</v>
      </c>
      <c r="C43">
        <v>59</v>
      </c>
      <c r="D43" s="4">
        <v>58</v>
      </c>
    </row>
    <row r="44">
      <c r="K44" t="s">
        <v>167</v>
      </c>
      <c r="L44" t="s">
        <f>A41</f>
        <v>51</v>
      </c>
    </row>
    <row r="45">
      <c r="A45" t="s">
        <f>L36</f>
        <v>50</v>
      </c>
      <c r="B45" t="s">
        <f>TRUNC(F45,0)</f>
        <v>222</v>
      </c>
      <c r="C45" t="s">
        <f>TRUNC((F45-B45)*60,0)</f>
        <v>217</v>
      </c>
      <c r="D45" s="4" t="s">
        <f>ROUND(((F45-B45)-C45/60)*3600,0)</f>
        <v>223</v>
      </c>
      <c r="E45" s="4" t="s">
        <f>F45</f>
        <v>222</v>
      </c>
      <c r="F45" s="4" t="s">
        <f>I45+J45/60+K45/3600-(H45+G45)/3600</f>
        <v>222</v>
      </c>
      <c r="H45">
        <v>-1</v>
      </c>
      <c r="I45" s="4" t="s">
        <f>IF(I41&lt;180,I41+180,I41-180)</f>
        <v>222</v>
      </c>
      <c r="J45" s="4" t="s">
        <f>J41</f>
        <v>217</v>
      </c>
      <c r="K45" s="4" t="s">
        <f>K41</f>
        <v>219</v>
      </c>
    </row>
    <row r="46">
      <c r="B46" t="s">
        <f>TRUNC(F46,0)</f>
        <v>216</v>
      </c>
      <c r="C46" t="s">
        <f>TRUNC((F46-B46)*60,0)</f>
        <v>217</v>
      </c>
      <c r="D46" s="4" t="s">
        <f>ROUND(((F46-B46)-C46/60)*3600,0)</f>
        <v>219</v>
      </c>
      <c r="E46" s="4" t="s">
        <f>E45-(B47+C47/60+D47/3600)</f>
        <v>216</v>
      </c>
      <c r="F46" s="4" t="s">
        <f>IF(E46&gt;0,E46,E46+360)</f>
        <v>216</v>
      </c>
    </row>
    <row r="47">
      <c r="B47">
        <v>180</v>
      </c>
      <c r="C47">
        <v>0</v>
      </c>
      <c r="D47" s="4">
        <v>1</v>
      </c>
    </row>
    <row r="48"/>
    <row r="49">
      <c r="A49" t="s">
        <f>TRVS!A16</f>
        <v>52</v>
      </c>
      <c r="B49" t="s">
        <f>TRUNC(F49,0)</f>
        <v>225</v>
      </c>
      <c r="C49" t="s">
        <f>TRUNC((F49-B49)*60,0)</f>
        <v>169</v>
      </c>
      <c r="D49" s="4" t="s">
        <f>ROUND(((F49-B49)-C49/60)*3600,0)</f>
        <v>226</v>
      </c>
      <c r="E49" s="4" t="s">
        <f>F49</f>
        <v>225</v>
      </c>
      <c r="F49" s="4" t="s">
        <f>I49+J49/60+K49/3600-(H49+G49)/3600</f>
        <v>225</v>
      </c>
      <c r="G49" t="s">
        <f>ROUND(((B47+C47/60+D47/3600)-(B51+C51/60+D51/3600))/2*3600,0)</f>
        <v>208</v>
      </c>
      <c r="H49" t="s">
        <f>H45</f>
        <v>195</v>
      </c>
      <c r="I49" s="4" t="s">
        <f>TRVS!B16</f>
        <v>225</v>
      </c>
      <c r="J49" s="4" t="s">
        <f>TRVS!C16</f>
        <v>169</v>
      </c>
      <c r="K49" s="4" t="s">
        <f>TRVS!D16</f>
        <v>226</v>
      </c>
      <c r="L49" t="s">
        <f>L44</f>
        <v>51</v>
      </c>
      <c r="M49" s="5" t="s">
        <f>TRVS!L16</f>
        <v>227</v>
      </c>
      <c r="N49" t="s">
        <f>A49</f>
        <v>52</v>
      </c>
      <c r="O49" s="3" t="s">
        <f>M49/$M$6</f>
        <v>228</v>
      </c>
    </row>
    <row r="50">
      <c r="B50" t="s">
        <f>TRUNC(F50,0)</f>
        <v>229</v>
      </c>
      <c r="C50" t="s">
        <f>TRUNC((F50-B50)*60,0)</f>
        <v>169</v>
      </c>
      <c r="D50" s="4" t="s">
        <f>ROUND(((F50-B50)-C50/60)*3600,0)</f>
        <v>230</v>
      </c>
      <c r="E50" s="4" t="s">
        <f>E49-(B51+C51/60+D51/3600)</f>
        <v>231</v>
      </c>
      <c r="F50" s="4" t="s">
        <f>IF(E50&gt;0,E50,E50+360)</f>
        <v>229</v>
      </c>
    </row>
    <row r="51">
      <c r="B51">
        <v>179</v>
      </c>
      <c r="C51">
        <v>59</v>
      </c>
      <c r="D51" s="4">
        <v>59</v>
      </c>
    </row>
    <row r="52">
      <c r="K52" t="s">
        <v>167</v>
      </c>
      <c r="L52" t="s">
        <f>A49</f>
        <v>52</v>
      </c>
    </row>
    <row r="53">
      <c r="A53" t="s">
        <f>L44</f>
        <v>51</v>
      </c>
      <c r="B53" t="s">
        <f>TRUNC(F53,0)</f>
        <v>229</v>
      </c>
      <c r="C53" t="s">
        <f>TRUNC((F53-B53)*60,0)</f>
        <v>169</v>
      </c>
      <c r="D53" s="4" t="s">
        <f>ROUND(((F53-B53)-C53/60)*3600,0)</f>
        <v>226</v>
      </c>
      <c r="E53" s="4" t="s">
        <f>F53</f>
        <v>229</v>
      </c>
      <c r="F53" s="4" t="s">
        <f>I53+J53/60+K53/3600-(H53+G53)/3600</f>
        <v>229</v>
      </c>
      <c r="H53">
        <v>0</v>
      </c>
      <c r="I53" s="4" t="s">
        <f>IF(I49&lt;180,I49+180,I49-180)</f>
        <v>229</v>
      </c>
      <c r="J53" s="4" t="s">
        <f>J49</f>
        <v>169</v>
      </c>
      <c r="K53" s="4" t="s">
        <f>K49</f>
        <v>226</v>
      </c>
    </row>
    <row r="54">
      <c r="B54" t="s">
        <f>TRUNC(F54,0)</f>
        <v>225</v>
      </c>
      <c r="C54" t="s">
        <f>TRUNC((F54-B54)*60,0)</f>
        <v>169</v>
      </c>
      <c r="D54" s="4" t="s">
        <f>ROUND(((F54-B54)-C54/60)*3600,0)</f>
        <v>208</v>
      </c>
      <c r="E54" s="4" t="s">
        <f>E53-(B55+C55/60+D55/3600)</f>
        <v>225</v>
      </c>
      <c r="F54" s="4" t="s">
        <f>IF(E54&gt;0,E54,E54+360)</f>
        <v>225</v>
      </c>
    </row>
    <row r="55">
      <c r="B55">
        <v>180</v>
      </c>
      <c r="C55">
        <v>0</v>
      </c>
      <c r="D55" s="4">
        <v>5</v>
      </c>
    </row>
    <row r="56"/>
    <row r="57">
      <c r="A57" t="s">
        <f>TRVS!A17</f>
        <v>53</v>
      </c>
      <c r="B57" t="s">
        <f>TRUNC(F57,0)</f>
        <v>232</v>
      </c>
      <c r="C57" t="s">
        <f>TRUNC((F57-B57)*60,0)</f>
        <v>193</v>
      </c>
      <c r="D57" s="4" t="s">
        <f>ROUND(((F57-B57)-C57/60)*3600,0)</f>
        <v>233</v>
      </c>
      <c r="E57" s="4" t="s">
        <f>F57</f>
        <v>234</v>
      </c>
      <c r="F57" s="4" t="s">
        <f>I57+J57/60+K57/3600-(H57+G57)/3600</f>
        <v>234</v>
      </c>
      <c r="G57" t="s">
        <f>ROUND(((B55+C55/60+D55/3600)-(B59+C59/60+D59/3600))/2*3600,0)</f>
        <v>181</v>
      </c>
      <c r="H57" t="s">
        <f>H53</f>
        <v>172</v>
      </c>
      <c r="I57" s="4" t="s">
        <f>TRVS!B17</f>
        <v>232</v>
      </c>
      <c r="J57" s="4" t="s">
        <f>TRVS!C17</f>
        <v>193</v>
      </c>
      <c r="K57" s="4" t="s">
        <f>TRVS!D17</f>
        <v>235</v>
      </c>
      <c r="L57" t="s">
        <f>L52</f>
        <v>52</v>
      </c>
      <c r="M57" s="5" t="s">
        <f>TRVS!L17</f>
        <v>236</v>
      </c>
      <c r="N57" t="s">
        <f>A57</f>
        <v>53</v>
      </c>
      <c r="O57" s="3" t="s">
        <f>M57/$M$6</f>
        <v>237</v>
      </c>
    </row>
    <row r="58">
      <c r="B58" t="s">
        <f>TRUNC(F58,0)</f>
        <v>144</v>
      </c>
      <c r="C58" t="s">
        <f>TRUNC((F58-B58)*60,0)</f>
        <v>193</v>
      </c>
      <c r="D58" s="4" t="s">
        <f>ROUND(((F58-B58)-C58/60)*3600,0)</f>
        <v>134</v>
      </c>
      <c r="E58" s="4" t="s">
        <f>E57-(B59+C59/60+D59/3600)</f>
        <v>213</v>
      </c>
      <c r="F58" s="4" t="s">
        <f>IF(E58&gt;0,E58,E58+360)</f>
        <v>213</v>
      </c>
    </row>
    <row r="59">
      <c r="B59">
        <v>179</v>
      </c>
      <c r="C59">
        <v>59</v>
      </c>
      <c r="D59" s="4">
        <v>59</v>
      </c>
    </row>
    <row r="60">
      <c r="K60" t="s">
        <v>167</v>
      </c>
      <c r="L60" t="s">
        <f>A57</f>
        <v>53</v>
      </c>
    </row>
    <row r="61">
      <c r="A61" t="s">
        <f>L52</f>
        <v>52</v>
      </c>
      <c r="B61" t="s">
        <f>TRUNC(F61,0)</f>
        <v>144</v>
      </c>
      <c r="C61" t="s">
        <f>TRUNC((F61-B61)*60,0)</f>
        <v>193</v>
      </c>
      <c r="D61" s="4" t="s">
        <f>ROUND(((F61-B61)-C61/60)*3600,0)</f>
        <v>238</v>
      </c>
      <c r="E61" s="4" t="s">
        <f>F61</f>
        <v>213</v>
      </c>
      <c r="F61" s="4" t="s">
        <f>I61+J61/60+K61/3600-(H61+G61)/3600</f>
        <v>213</v>
      </c>
      <c r="H61">
        <v>1</v>
      </c>
      <c r="I61" s="4" t="s">
        <f>IF(I57&lt;180,I57+180,I57-180)</f>
        <v>144</v>
      </c>
      <c r="J61" s="4" t="s">
        <f>J57</f>
        <v>193</v>
      </c>
      <c r="K61" s="4" t="s">
        <f>K57</f>
        <v>235</v>
      </c>
    </row>
    <row r="62">
      <c r="B62" t="s">
        <f>TRUNC(F62,0)</f>
        <v>232</v>
      </c>
      <c r="C62" t="s">
        <f>TRUNC((F62-B62)*60,0)</f>
        <v>193</v>
      </c>
      <c r="D62" s="4" t="s">
        <f>ROUND(((F62-B62)-C62/60)*3600,0)</f>
        <v>134</v>
      </c>
      <c r="E62" s="4" t="s">
        <f>E61-(B63+C63/60+D63/3600)</f>
        <v>239</v>
      </c>
      <c r="F62" s="4" t="s">
        <f>IF(E62&gt;0,E62,E62+360)</f>
        <v>234</v>
      </c>
    </row>
    <row r="63">
      <c r="B63">
        <v>180</v>
      </c>
      <c r="C63">
        <v>0</v>
      </c>
      <c r="D63" s="4">
        <v>1</v>
      </c>
    </row>
    <row r="64"/>
    <row r="65">
      <c r="A65" t="s">
        <f>TRVS!A18</f>
        <v>54</v>
      </c>
      <c r="B65" t="s">
        <f>TRUNC(F65,0)</f>
        <v>240</v>
      </c>
      <c r="C65" t="s">
        <f>TRUNC((F65-B65)*60,0)</f>
        <v>133</v>
      </c>
      <c r="D65" s="4" t="s">
        <f>ROUND(((F65-B65)-C65/60)*3600,0)</f>
        <v>185</v>
      </c>
      <c r="E65" s="4" t="s">
        <f>F65</f>
        <v>240</v>
      </c>
      <c r="F65" s="4" t="s">
        <f>I65+J65/60+K65/3600-(H65+G65)/3600</f>
        <v>240</v>
      </c>
      <c r="G65" t="s">
        <f>ROUND(((B63+C63/60+D63/3600)-(B67+C67/60+D67/3600))/2*3600,0)</f>
        <v>208</v>
      </c>
      <c r="H65" t="s">
        <f>H61</f>
        <v>208</v>
      </c>
      <c r="I65" s="4" t="s">
        <f>TRVS!B18</f>
        <v>240</v>
      </c>
      <c r="J65" s="4" t="s">
        <f>TRVS!C18</f>
        <v>133</v>
      </c>
      <c r="K65" s="4" t="s">
        <f>TRVS!D18</f>
        <v>241</v>
      </c>
      <c r="L65" t="s">
        <f>L60</f>
        <v>53</v>
      </c>
      <c r="M65" s="5" t="s">
        <f>TRVS!L18</f>
        <v>242</v>
      </c>
      <c r="N65" t="s">
        <f>A65</f>
        <v>54</v>
      </c>
      <c r="O65" s="3" t="s">
        <f>M65/$M$6</f>
        <v>243</v>
      </c>
    </row>
    <row r="66">
      <c r="B66" t="s">
        <f>TRUNC(F66,0)</f>
        <v>134</v>
      </c>
      <c r="C66" t="s">
        <f>TRUNC((F66-B66)*60,0)</f>
        <v>133</v>
      </c>
      <c r="D66" s="4" t="s">
        <f>ROUND(((F66-B66)-C66/60)*3600,0)</f>
        <v>241</v>
      </c>
      <c r="E66" s="4" t="s">
        <f>E65-(B67+C67/60+D67/3600)</f>
        <v>134</v>
      </c>
      <c r="F66" s="4" t="s">
        <f>IF(E66&gt;0,E66,E66+360)</f>
        <v>134</v>
      </c>
    </row>
    <row r="67">
      <c r="B67">
        <v>179</v>
      </c>
      <c r="C67">
        <v>59</v>
      </c>
      <c r="D67" s="4">
        <v>58</v>
      </c>
    </row>
    <row r="68">
      <c r="K68" t="s">
        <v>167</v>
      </c>
      <c r="L68" t="s">
        <f>A65</f>
        <v>54</v>
      </c>
    </row>
    <row r="69">
      <c r="A69" t="s">
        <f>L60</f>
        <v>53</v>
      </c>
      <c r="B69" t="s">
        <f>TRUNC(F69,0)</f>
        <v>134</v>
      </c>
      <c r="C69" t="s">
        <f>TRUNC((F69-B69)*60,0)</f>
        <v>133</v>
      </c>
      <c r="D69" s="4" t="s">
        <f>ROUND(((F69-B69)-C69/60)*3600,0)</f>
        <v>244</v>
      </c>
      <c r="E69" s="4" t="s">
        <f>F69</f>
        <v>134</v>
      </c>
      <c r="F69" s="4" t="s">
        <f>I69+J69/60+K69/3600-(H69+G69)/3600</f>
        <v>134</v>
      </c>
      <c r="H69">
        <v>1</v>
      </c>
      <c r="I69" s="4" t="s">
        <f>IF(I65&lt;180,I65+180,I65-180)</f>
        <v>134</v>
      </c>
      <c r="J69" s="4" t="s">
        <f>J65</f>
        <v>133</v>
      </c>
      <c r="K69" s="4" t="s">
        <f>K65</f>
        <v>241</v>
      </c>
    </row>
    <row r="70">
      <c r="B70" t="s">
        <f>TRUNC(F70,0)</f>
        <v>240</v>
      </c>
      <c r="C70" t="s">
        <f>TRUNC((F70-B70)*60,0)</f>
        <v>133</v>
      </c>
      <c r="D70" s="4" t="s">
        <f>ROUND(((F70-B70)-C70/60)*3600,0)</f>
        <v>214</v>
      </c>
      <c r="E70" s="4" t="s">
        <f>E69-(B71+C71/60+D71/3600)</f>
        <v>245</v>
      </c>
      <c r="F70" s="4" t="s">
        <f>IF(E70&gt;0,E70,E70+360)</f>
        <v>240</v>
      </c>
    </row>
    <row r="71">
      <c r="B71">
        <v>180</v>
      </c>
      <c r="C71">
        <v>0</v>
      </c>
      <c r="D71" s="4">
        <v>3</v>
      </c>
    </row>
    <row r="72"/>
    <row r="73">
      <c r="A73" t="s">
        <f>TRVS!A19</f>
        <v>55</v>
      </c>
      <c r="B73" t="s">
        <f>TRUNC(F73,0)</f>
        <v>246</v>
      </c>
      <c r="C73" t="s">
        <f>TRUNC((F73-B73)*60,0)</f>
        <v>181</v>
      </c>
      <c r="D73" s="4" t="s">
        <f>ROUND(((F73-B73)-C73/60)*3600,0)</f>
        <v>134</v>
      </c>
      <c r="E73" s="4" t="s">
        <f>F73</f>
        <v>246</v>
      </c>
      <c r="F73" s="4" t="s">
        <f>I73+J73/60+K73/3600-(H73+G73)/3600</f>
        <v>246</v>
      </c>
      <c r="G73" t="s">
        <f>ROUND(((B71+C71/60+D71/3600)-(B75+C75/60+D75/3600))/2*3600,0)</f>
        <v>181</v>
      </c>
      <c r="H73" t="s">
        <f>H69</f>
        <v>208</v>
      </c>
      <c r="I73" s="4" t="s">
        <f>TRVS!B19</f>
        <v>246</v>
      </c>
      <c r="J73" s="4" t="s">
        <f>TRVS!C19</f>
        <v>181</v>
      </c>
      <c r="K73" s="4" t="s">
        <f>TRVS!D19</f>
        <v>247</v>
      </c>
      <c r="L73" t="s">
        <f>L68</f>
        <v>54</v>
      </c>
      <c r="M73" s="5" t="s">
        <f>TRVS!L19</f>
        <v>248</v>
      </c>
      <c r="N73" t="s">
        <f>A73</f>
        <v>55</v>
      </c>
      <c r="O73" s="3" t="s">
        <f>M73/$M$6</f>
        <v>249</v>
      </c>
    </row>
    <row r="74">
      <c r="B74" t="s">
        <f>TRUNC(F74,0)</f>
        <v>250</v>
      </c>
      <c r="C74" t="s">
        <f>TRUNC((F74-B74)*60,0)</f>
        <v>181</v>
      </c>
      <c r="D74" s="4" t="s">
        <f>ROUND(((F74-B74)-C74/60)*3600,0)</f>
        <v>235</v>
      </c>
      <c r="E74" s="4" t="s">
        <f>E73-(B75+C75/60+D75/3600)</f>
        <v>250</v>
      </c>
      <c r="F74" s="4" t="s">
        <f>IF(E74&gt;0,E74,E74+360)</f>
        <v>250</v>
      </c>
    </row>
    <row r="75">
      <c r="B75">
        <v>179</v>
      </c>
      <c r="C75">
        <v>59</v>
      </c>
      <c r="D75" s="4">
        <v>58</v>
      </c>
    </row>
    <row r="76">
      <c r="K76" t="s">
        <v>167</v>
      </c>
      <c r="L76" t="s">
        <f>A73</f>
        <v>55</v>
      </c>
    </row>
    <row r="77">
      <c r="A77" t="s">
        <f>L68</f>
        <v>54</v>
      </c>
      <c r="B77" t="s">
        <f>TRUNC(F77,0)</f>
        <v>250</v>
      </c>
      <c r="C77" t="s">
        <f>TRUNC((F77-B77)*60,0)</f>
        <v>181</v>
      </c>
      <c r="D77" s="4" t="s">
        <f>ROUND(((F77-B77)-C77/60)*3600,0)</f>
        <v>251</v>
      </c>
      <c r="E77" s="4" t="s">
        <f>F77</f>
        <v>250</v>
      </c>
      <c r="F77" s="4" t="s">
        <f>I77+J77/60+K77/3600-(H77+G77)/3600</f>
        <v>250</v>
      </c>
      <c r="H77">
        <v>1</v>
      </c>
      <c r="I77" s="4" t="s">
        <f>IF(I73&lt;180,I73+180,I73-180)</f>
        <v>250</v>
      </c>
      <c r="J77" s="4" t="s">
        <f>J73</f>
        <v>181</v>
      </c>
      <c r="K77" s="4" t="s">
        <f>K73</f>
        <v>247</v>
      </c>
    </row>
    <row r="78">
      <c r="B78" t="s">
        <f>TRUNC(F78,0)</f>
        <v>246</v>
      </c>
      <c r="C78" t="s">
        <f>TRUNC((F78-B78)*60,0)</f>
        <v>181</v>
      </c>
      <c r="D78" s="4" t="s">
        <f>ROUND(((F78-B78)-C78/60)*3600,0)</f>
        <v>238</v>
      </c>
      <c r="E78" s="4" t="s">
        <f>E77-(B79+C79/60+D79/3600)</f>
        <v>252</v>
      </c>
      <c r="F78" s="4" t="s">
        <f>IF(E78&gt;0,E78,E78+360)</f>
        <v>246</v>
      </c>
    </row>
    <row r="79">
      <c r="B79">
        <v>180</v>
      </c>
      <c r="C79">
        <v>0</v>
      </c>
      <c r="D79" s="4">
        <v>2</v>
      </c>
    </row>
    <row r="80"/>
    <row r="81">
      <c r="A81" t="s">
        <f>TRVS!A20</f>
        <v>56</v>
      </c>
      <c r="B81" t="s">
        <f>TRUNC(F81,0)</f>
        <v>190</v>
      </c>
      <c r="C81" t="s">
        <f>TRUNC((F81-B81)*60,0)</f>
        <v>213</v>
      </c>
      <c r="D81" s="4" t="s">
        <f>ROUND(((F81-B81)-C81/60)*3600,0)</f>
        <v>174</v>
      </c>
      <c r="E81" s="4" t="s">
        <f>F81</f>
        <v>179</v>
      </c>
      <c r="F81" s="4" t="s">
        <f>I81+J81/60+K81/3600-(H81+G81)/3600</f>
        <v>179</v>
      </c>
      <c r="G81" t="s">
        <f>ROUND(((B79+C79/60+D79/3600)-(B83+C83/60+D83/3600))/2*3600,0)</f>
        <v>186</v>
      </c>
      <c r="H81" t="s">
        <f>H77</f>
        <v>208</v>
      </c>
      <c r="I81" s="4" t="s">
        <f>TRVS!B20</f>
        <v>190</v>
      </c>
      <c r="J81" s="4" t="s">
        <f>TRVS!C20</f>
        <v>213</v>
      </c>
      <c r="K81" s="4" t="s">
        <f>TRVS!D20</f>
        <v>253</v>
      </c>
      <c r="L81" s="4" t="s">
        <f>L76</f>
        <v>55</v>
      </c>
      <c r="M81" s="5" t="s">
        <f>TRVS!L20</f>
        <v>254</v>
      </c>
      <c r="N81" t="s">
        <f>A81</f>
        <v>56</v>
      </c>
      <c r="O81" s="3" t="s">
        <f>M81/$M$6</f>
        <v>255</v>
      </c>
    </row>
    <row r="82">
      <c r="B82" t="s">
        <f>TRUNC(F82,0)</f>
        <v>256</v>
      </c>
      <c r="C82" t="s">
        <f>TRUNC((F82-B82)*60,0)</f>
        <v>213</v>
      </c>
      <c r="D82" s="4" t="s">
        <f>ROUND(((F82-B82)-C82/60)*3600,0)</f>
        <v>213</v>
      </c>
      <c r="E82" s="4" t="s">
        <f>E81-(B83+C83/60+D83/3600)</f>
        <v>257</v>
      </c>
      <c r="F82" s="4" t="s">
        <f>IF(E82&gt;0,E82,E82+360)</f>
        <v>258</v>
      </c>
    </row>
    <row r="83">
      <c r="B83">
        <v>179</v>
      </c>
      <c r="C83">
        <v>59</v>
      </c>
      <c r="D83" s="4">
        <v>58</v>
      </c>
    </row>
    <row r="84">
      <c r="K84" t="s">
        <v>167</v>
      </c>
      <c r="L84" t="s">
        <f>A81</f>
        <v>56</v>
      </c>
    </row>
    <row r="85">
      <c r="A85" t="s">
        <f>L76</f>
        <v>55</v>
      </c>
      <c r="B85" t="s">
        <f>TRUNC(F85,0)</f>
        <v>256</v>
      </c>
      <c r="C85" t="s">
        <f>TRUNC((F85-B85)*60,0)</f>
        <v>213</v>
      </c>
      <c r="D85" s="4" t="s">
        <f>ROUND(((F85-B85)-C85/60)*3600,0)</f>
        <v>213</v>
      </c>
      <c r="E85" s="4" t="s">
        <f>F85</f>
        <v>258</v>
      </c>
      <c r="F85" s="4" t="s">
        <f>I85+J85/60+K85/3600-(H85+G85)/3600</f>
        <v>258</v>
      </c>
      <c r="H85">
        <v>1</v>
      </c>
      <c r="I85" s="4" t="s">
        <f>IF(I81&lt;180,I81+180,I81-180)</f>
        <v>256</v>
      </c>
      <c r="J85" s="4" t="s">
        <f>J81</f>
        <v>213</v>
      </c>
      <c r="K85" s="4" t="s">
        <f>K81</f>
        <v>253</v>
      </c>
    </row>
    <row r="86">
      <c r="B86" t="s">
        <f>TRUNC(F86,0)</f>
        <v>190</v>
      </c>
      <c r="C86" t="s">
        <f>TRUNC((F86-B86)*60,0)</f>
        <v>213</v>
      </c>
      <c r="D86" s="4" t="s">
        <f>ROUND(((F86-B86)-C86/60)*3600,0)</f>
        <v>144</v>
      </c>
      <c r="E86" s="4" t="s">
        <f>E85-(B87+C87/60+D87/3600)</f>
        <v>179</v>
      </c>
      <c r="F86" s="4" t="s">
        <f>IF(E86&gt;0,E86,E86+360)</f>
        <v>179</v>
      </c>
    </row>
    <row r="87">
      <c r="B87">
        <v>180</v>
      </c>
      <c r="C87">
        <v>0</v>
      </c>
      <c r="D87" s="4">
        <v>1</v>
      </c>
    </row>
    <row r="88"/>
    <row r="89">
      <c r="A89" t="s">
        <f>TRVS!A21</f>
        <v>57</v>
      </c>
      <c r="B89" t="s">
        <f>TRUNC(F89,0)</f>
        <v>259</v>
      </c>
      <c r="C89" t="s">
        <f>TRUNC((F89-B89)*60,0)</f>
        <v>143</v>
      </c>
      <c r="D89" s="4" t="s">
        <f>ROUND(((F89-B89)-C89/60)*3600,0)</f>
        <v>260</v>
      </c>
      <c r="E89" s="4" t="s">
        <f>F89</f>
        <v>261</v>
      </c>
      <c r="F89" s="4" t="s">
        <f>I89+J89/60+K89/3600-(H89+G89)/3600</f>
        <v>261</v>
      </c>
      <c r="G89" t="s">
        <f>ROUND(((B87+C87/60+D87/3600)-(B91+C91/60+D91/3600))/2*3600,0)</f>
        <v>208</v>
      </c>
      <c r="H89" t="s">
        <f>H85</f>
        <v>208</v>
      </c>
      <c r="I89" s="4" t="s">
        <f>TRVS!B21</f>
        <v>259</v>
      </c>
      <c r="J89" s="4" t="s">
        <f>TRVS!C21</f>
        <v>143</v>
      </c>
      <c r="K89" s="4" t="s">
        <f>TRVS!D21</f>
        <v>262</v>
      </c>
      <c r="L89" t="s">
        <f>L84</f>
        <v>56</v>
      </c>
      <c r="M89" s="5" t="s">
        <f>TRVS!L21</f>
        <v>263</v>
      </c>
      <c r="N89" t="s">
        <f>A89</f>
        <v>57</v>
      </c>
      <c r="O89" s="3" t="s">
        <f>M89/$M$6</f>
        <v>264</v>
      </c>
    </row>
    <row r="90">
      <c r="B90" t="s">
        <f>TRUNC(F90,0)</f>
        <v>265</v>
      </c>
      <c r="C90" t="s">
        <f>TRUNC((F90-B90)*60,0)</f>
        <v>143</v>
      </c>
      <c r="D90" s="4" t="s">
        <f>ROUND(((F90-B90)-C90/60)*3600,0)</f>
        <v>262</v>
      </c>
      <c r="E90" s="4" t="s">
        <f>E89-(B91+C91/60+D91/3600)</f>
        <v>266</v>
      </c>
      <c r="F90" s="4" t="s">
        <f>IF(E90&gt;0,E90,E90+360)</f>
        <v>266</v>
      </c>
    </row>
    <row r="91">
      <c r="B91">
        <v>179</v>
      </c>
      <c r="C91">
        <v>59</v>
      </c>
      <c r="D91" s="4">
        <v>58</v>
      </c>
    </row>
    <row r="92">
      <c r="K92" t="s">
        <v>167</v>
      </c>
      <c r="L92" t="s">
        <f>A89</f>
        <v>57</v>
      </c>
    </row>
    <row r="93">
      <c r="A93" t="s">
        <f>L84</f>
        <v>56</v>
      </c>
      <c r="B93" t="s">
        <f>TRUNC(F93,0)</f>
        <v>265</v>
      </c>
      <c r="C93" t="s">
        <f>TRUNC((F93-B93)*60,0)</f>
        <v>143</v>
      </c>
      <c r="D93" s="4" t="s">
        <f>ROUND(((F93-B93)-C93/60)*3600,0)</f>
        <v>267</v>
      </c>
      <c r="E93" s="4" t="s">
        <f>F93</f>
        <v>266</v>
      </c>
      <c r="F93" s="4" t="s">
        <f>I93+J93/60+K93/3600-(H93+G93)/3600</f>
        <v>266</v>
      </c>
      <c r="H93">
        <v>1</v>
      </c>
      <c r="I93" s="4" t="s">
        <f>IF(I89&lt;180,I89+180,I89-180)</f>
        <v>265</v>
      </c>
      <c r="J93" s="4" t="s">
        <f>J89</f>
        <v>143</v>
      </c>
      <c r="K93" s="4" t="s">
        <f>K89</f>
        <v>262</v>
      </c>
    </row>
    <row r="94">
      <c r="B94" t="s">
        <f>TRUNC(F94,0)</f>
        <v>259</v>
      </c>
      <c r="C94" t="s">
        <f>TRUNC((F94-B94)*60,0)</f>
        <v>143</v>
      </c>
      <c r="D94" s="4" t="s">
        <f>ROUND(((F94-B94)-C94/60)*3600,0)</f>
        <v>260</v>
      </c>
      <c r="E94" s="4" t="s">
        <f>E93-(B95+C95/60+D95/3600)</f>
        <v>268</v>
      </c>
      <c r="F94" s="4" t="s">
        <f>IF(E94&gt;0,E94,E94+360)</f>
        <v>261</v>
      </c>
    </row>
    <row r="95">
      <c r="B95">
        <v>180</v>
      </c>
      <c r="C95">
        <v>0</v>
      </c>
      <c r="D95" s="4">
        <v>1</v>
      </c>
    </row>
    <row r="96"/>
    <row r="97">
      <c r="A97" t="s">
        <f>TRVS!A22</f>
        <v>58</v>
      </c>
      <c r="B97" t="s">
        <f>TRUNC(F97,0)</f>
        <v>246</v>
      </c>
      <c r="C97" t="s">
        <f>TRUNC((F97-B97)*60,0)</f>
        <v>178</v>
      </c>
      <c r="D97" s="4" t="s">
        <f>ROUND(((F97-B97)-C97/60)*3600,0)</f>
        <v>235</v>
      </c>
      <c r="E97" s="4" t="s">
        <f>F97</f>
        <v>269</v>
      </c>
      <c r="F97" s="4" t="s">
        <f>I97+J97/60+K97/3600-(H97+G97)/3600</f>
        <v>269</v>
      </c>
      <c r="G97" t="s">
        <f>ROUND(((B95+C95/60+D95/3600)-(B99+C99/60+D99/3600))/2*3600,0)</f>
        <v>186</v>
      </c>
      <c r="H97" t="s">
        <f>H93</f>
        <v>208</v>
      </c>
      <c r="I97" s="4" t="s">
        <f>TRVS!B22</f>
        <v>246</v>
      </c>
      <c r="J97" s="4" t="s">
        <f>TRVS!C22</f>
        <v>178</v>
      </c>
      <c r="K97" s="4" t="s">
        <f>TRVS!D22</f>
        <v>198</v>
      </c>
      <c r="L97" s="4" t="s">
        <f>L92</f>
        <v>57</v>
      </c>
      <c r="M97" s="5" t="s">
        <f>TRVS!L22</f>
        <v>270</v>
      </c>
      <c r="N97" t="s">
        <f>A97</f>
        <v>58</v>
      </c>
      <c r="O97" s="3" t="s">
        <f>M97/$M$6</f>
        <v>271</v>
      </c>
    </row>
    <row r="98">
      <c r="B98" t="s">
        <f>TRUNC(F98,0)</f>
        <v>250</v>
      </c>
      <c r="C98" t="s">
        <f>TRUNC((F98-B98)*60,0)</f>
        <v>178</v>
      </c>
      <c r="D98" s="4" t="s">
        <f>ROUND(((F98-B98)-C98/60)*3600,0)</f>
        <v>198</v>
      </c>
      <c r="E98" s="4" t="s">
        <f>E97-(B99+C99/60+D99/3600)</f>
        <v>143</v>
      </c>
      <c r="F98" s="4" t="s">
        <f>IF(E98&gt;0,E98,E98+360)</f>
        <v>143</v>
      </c>
    </row>
    <row r="99">
      <c r="B99">
        <v>179</v>
      </c>
      <c r="C99">
        <v>59</v>
      </c>
      <c r="D99" s="4">
        <v>57</v>
      </c>
    </row>
    <row r="100">
      <c r="K100" t="s">
        <v>167</v>
      </c>
      <c r="L100" t="s">
        <f>A97</f>
        <v>58</v>
      </c>
    </row>
    <row r="101">
      <c r="A101" t="s">
        <f>L92</f>
        <v>57</v>
      </c>
      <c r="B101" t="s">
        <f>TRUNC(F101,0)</f>
        <v>250</v>
      </c>
      <c r="C101" t="s">
        <f>TRUNC((F101-B101)*60,0)</f>
        <v>178</v>
      </c>
      <c r="D101" s="4" t="s">
        <f>ROUND(((F101-B101)-C101/60)*3600,0)</f>
        <v>247</v>
      </c>
      <c r="E101" s="4" t="s">
        <f>F101</f>
        <v>143</v>
      </c>
      <c r="F101" s="4" t="s">
        <f>I101+J101/60+K101/3600-(H101+G101)/3600</f>
        <v>143</v>
      </c>
      <c r="H101">
        <v>1</v>
      </c>
      <c r="I101" s="4" t="s">
        <f>IF(I97&lt;180,I97+180,I97-180)</f>
        <v>250</v>
      </c>
      <c r="J101" s="4" t="s">
        <f>J97</f>
        <v>178</v>
      </c>
      <c r="K101" s="4" t="s">
        <f>K97</f>
        <v>198</v>
      </c>
    </row>
    <row r="102">
      <c r="B102" t="s">
        <f>TRUNC(F102,0)</f>
        <v>246</v>
      </c>
      <c r="C102" t="s">
        <f>TRUNC((F102-B102)*60,0)</f>
        <v>178</v>
      </c>
      <c r="D102" s="4" t="s">
        <f>ROUND(((F102-B102)-C102/60)*3600,0)</f>
        <v>251</v>
      </c>
      <c r="E102" s="4" t="s">
        <f>E101-(B103+C103/60+D103/3600)</f>
        <v>272</v>
      </c>
      <c r="F102" s="4" t="s">
        <f>IF(E102&gt;0,E102,E102+360)</f>
        <v>269</v>
      </c>
    </row>
    <row r="103">
      <c r="B103">
        <v>180</v>
      </c>
      <c r="C103">
        <v>0</v>
      </c>
      <c r="D103" s="4">
        <v>1</v>
      </c>
    </row>
    <row r="104"/>
    <row r="105">
      <c r="A105" t="s">
        <f>TRVS!A23</f>
        <v>59</v>
      </c>
      <c r="B105" t="s">
        <f>TRUNC(F105,0)</f>
        <v>273</v>
      </c>
      <c r="C105" t="s">
        <f>TRUNC((F105-B105)*60,0)</f>
        <v>185</v>
      </c>
      <c r="D105" s="4" t="s">
        <f>ROUND(((F105-B105)-C105/60)*3600,0)</f>
        <v>193</v>
      </c>
      <c r="E105" s="4" t="s">
        <f>F105</f>
        <v>274</v>
      </c>
      <c r="F105" s="4" t="s">
        <f>I105+J105/60+K105/3600-(H105+G105)/3600</f>
        <v>274</v>
      </c>
      <c r="G105" t="s">
        <f>ROUND(((B103+C103/60+D103/3600)-(B107+C107/60+D107/3600))/2*3600,0)</f>
        <v>208</v>
      </c>
      <c r="H105" t="s">
        <f>H101</f>
        <v>208</v>
      </c>
      <c r="I105" s="4" t="s">
        <f>TRVS!B23</f>
        <v>273</v>
      </c>
      <c r="J105" s="4" t="s">
        <f>TRVS!C23</f>
        <v>185</v>
      </c>
      <c r="K105" s="4" t="s">
        <f>TRVS!D23</f>
        <v>158</v>
      </c>
      <c r="L105" t="s">
        <f>L100</f>
        <v>58</v>
      </c>
      <c r="M105" s="5" t="s">
        <f>TRVS!L23</f>
        <v>275</v>
      </c>
      <c r="N105" t="s">
        <f>A105</f>
        <v>59</v>
      </c>
      <c r="O105" s="3" t="s">
        <f>M105/$M$6</f>
        <v>276</v>
      </c>
    </row>
    <row r="106">
      <c r="B106" t="s">
        <f>TRUNC(F106,0)</f>
        <v>277</v>
      </c>
      <c r="C106" t="s">
        <f>TRUNC((F106-B106)*60,0)</f>
        <v>244</v>
      </c>
      <c r="D106" s="4" t="s">
        <f>ROUND(((F106-B106)-C106/60)*3600,0)</f>
        <v>172</v>
      </c>
      <c r="E106" s="4" t="s">
        <f>E105-(B107+C107/60+D107/3600)</f>
        <v>278</v>
      </c>
      <c r="F106" s="4" t="s">
        <f>IF(E106&gt;0,E106,E106+360)</f>
        <v>278</v>
      </c>
    </row>
    <row r="107">
      <c r="B107">
        <v>179</v>
      </c>
      <c r="C107">
        <v>59</v>
      </c>
      <c r="D107" s="4">
        <v>58</v>
      </c>
    </row>
    <row r="108">
      <c r="K108" t="s">
        <v>167</v>
      </c>
      <c r="L108" t="s">
        <f>A105</f>
        <v>59</v>
      </c>
    </row>
    <row r="109">
      <c r="A109" t="s">
        <f>L100</f>
        <v>58</v>
      </c>
      <c r="B109" t="s">
        <f>TRUNC(F109,0)</f>
        <v>277</v>
      </c>
      <c r="C109" t="s">
        <f>TRUNC((F109-B109)*60,0)</f>
        <v>185</v>
      </c>
      <c r="D109" s="4" t="s">
        <f>ROUND(((F109-B109)-C109/60)*3600,0)</f>
        <v>179</v>
      </c>
      <c r="E109" s="4" t="s">
        <f>F109</f>
        <v>278</v>
      </c>
      <c r="F109" s="4" t="s">
        <f>I109+J109/60+K109/3600-(H109+G109)/3600</f>
        <v>278</v>
      </c>
      <c r="H109">
        <v>3</v>
      </c>
      <c r="I109" s="4" t="s">
        <f>IF(I105&lt;180,I105+180,I105-180)</f>
        <v>277</v>
      </c>
      <c r="J109" s="4" t="s">
        <f>J105</f>
        <v>185</v>
      </c>
      <c r="K109" s="4" t="s">
        <f>K105</f>
        <v>158</v>
      </c>
    </row>
    <row r="110">
      <c r="B110" t="s">
        <f>TRUNC(F110,0)</f>
        <v>279</v>
      </c>
      <c r="C110" t="s">
        <f>TRUNC((F110-B110)*60,0)</f>
        <v>185</v>
      </c>
      <c r="D110" s="4" t="s">
        <f>ROUND(((F110-B110)-C110/60)*3600,0)</f>
        <v>190</v>
      </c>
      <c r="E110" s="4" t="s">
        <f>E109-(B111+C111/60+D111/3600)</f>
        <v>280</v>
      </c>
      <c r="F110" s="4" t="s">
        <f>IF(E110&gt;0,E110,E110+360)</f>
        <v>281</v>
      </c>
    </row>
    <row r="111">
      <c r="B111">
        <v>200</v>
      </c>
      <c r="C111">
        <v>0</v>
      </c>
      <c r="D111" s="4">
        <v>1</v>
      </c>
    </row>
    <row r="112"/>
    <row r="113">
      <c r="A113" t="s">
        <f>TRVS!A24</f>
        <v>60</v>
      </c>
      <c r="B113" t="s">
        <f>TRUNC(F113,0)</f>
        <v>282</v>
      </c>
      <c r="C113" t="s">
        <f>TRUNC((F113-B113)*60,0)</f>
        <v>174</v>
      </c>
      <c r="D113" s="4" t="s">
        <f>ROUND(((F113-B113)-C113/60)*3600,0)</f>
        <v>171</v>
      </c>
      <c r="E113" s="4" t="s">
        <f>F113</f>
        <v>283</v>
      </c>
      <c r="F113" s="4" t="s">
        <f>I113+J113/60+K113/3600-(H113+G113)/3600</f>
        <v>283</v>
      </c>
      <c r="G113" t="s">
        <f>ROUND(((B111+C111/60+D111/3600)-(B115+C115/60+D115/3600))/2*3600,0)</f>
        <v>195</v>
      </c>
      <c r="H113" t="s">
        <f>H109</f>
        <v>181</v>
      </c>
      <c r="I113" s="4" t="s">
        <f>TRVS!B24</f>
        <v>282</v>
      </c>
      <c r="J113" s="4" t="s">
        <f>TRVS!C24</f>
        <v>174</v>
      </c>
      <c r="K113" s="4" t="s">
        <f>TRVS!D24</f>
        <v>190</v>
      </c>
      <c r="L113" t="s">
        <f>L108</f>
        <v>59</v>
      </c>
      <c r="M113" s="5" t="s">
        <f>TRVS!L24</f>
        <v>284</v>
      </c>
      <c r="N113" t="s">
        <f>A113</f>
        <v>60</v>
      </c>
      <c r="O113" s="3" t="s">
        <f>M113/$M$6</f>
        <v>285</v>
      </c>
    </row>
    <row r="114">
      <c r="B114" t="s">
        <f>TRUNC(F114,0)</f>
        <v>286</v>
      </c>
      <c r="C114" t="s">
        <f>TRUNC((F114-B114)*60,0)</f>
        <v>174</v>
      </c>
      <c r="D114" s="4" t="s">
        <f>ROUND(((F114-B114)-C114/60)*3600,0)</f>
        <v>201</v>
      </c>
      <c r="E114" s="4" t="s">
        <f>E113-(B115+C115/60+D115/3600)</f>
        <v>174</v>
      </c>
      <c r="F114" s="4" t="s">
        <f>IF(E114&gt;0,E114,E114+360)</f>
        <v>174</v>
      </c>
    </row>
    <row r="115">
      <c r="B115">
        <v>200</v>
      </c>
      <c r="C115">
        <v>0</v>
      </c>
      <c r="D115" s="4">
        <v>2</v>
      </c>
    </row>
    <row r="116">
      <c r="K116" t="s">
        <v>167</v>
      </c>
      <c r="L116" t="s">
        <f>A113</f>
        <v>60</v>
      </c>
    </row>
    <row r="117">
      <c r="A117" t="s">
        <f>L108</f>
        <v>59</v>
      </c>
      <c r="B117" t="s">
        <f>TRUNC(F117,0)</f>
        <v>287</v>
      </c>
      <c r="C117" t="s">
        <f>TRUNC((F117-B117)*60,0)</f>
        <v>174</v>
      </c>
      <c r="D117" s="4" t="s">
        <f>ROUND(((F117-B117)-C117/60)*3600,0)</f>
        <v>209</v>
      </c>
      <c r="E117" s="4" t="s">
        <f>F117</f>
        <v>288</v>
      </c>
      <c r="F117" s="4" t="s">
        <f>I117+J117/60+K117/3600-(H117+G117)/3600</f>
        <v>288</v>
      </c>
      <c r="H117">
        <v>1</v>
      </c>
      <c r="I117" s="4" t="s">
        <f>IF(I113&lt;180,I113+180,I113-180)</f>
        <v>287</v>
      </c>
      <c r="J117" s="4" t="s">
        <f>J113</f>
        <v>174</v>
      </c>
      <c r="K117" s="4" t="s">
        <f>K113</f>
        <v>190</v>
      </c>
    </row>
    <row r="118">
      <c r="B118" t="s">
        <f>TRUNC(F118,0)</f>
        <v>282</v>
      </c>
      <c r="C118" t="s">
        <f>TRUNC((F118-B118)*60,0)</f>
        <v>174</v>
      </c>
      <c r="D118" s="4" t="s">
        <f>ROUND(((F118-B118)-C118/60)*3600,0)</f>
        <v>171</v>
      </c>
      <c r="E118" s="4" t="s">
        <f>E117-(B119+C119/60+D119/3600)</f>
        <v>289</v>
      </c>
      <c r="F118" s="4" t="s">
        <f>IF(E118&gt;0,E118,E118+360)</f>
        <v>283</v>
      </c>
    </row>
    <row r="119">
      <c r="B119">
        <v>180</v>
      </c>
      <c r="C119">
        <v>0</v>
      </c>
      <c r="D119" s="4">
        <v>1</v>
      </c>
    </row>
    <row r="120"/>
    <row r="121">
      <c r="A121" t="s">
        <f>TRVS!A25</f>
        <v>61</v>
      </c>
      <c r="B121" t="s">
        <f>TRUNC(F121,0)</f>
        <v>290</v>
      </c>
      <c r="C121" t="s">
        <f>TRUNC((F121-B121)*60,0)</f>
        <v>291</v>
      </c>
      <c r="D121" s="4" t="s">
        <f>ROUND(((F121-B121)-C121/60)*3600,0)</f>
        <v>241</v>
      </c>
      <c r="E121" s="4" t="s">
        <f>F121</f>
        <v>290</v>
      </c>
      <c r="F121" s="4" t="s">
        <f>I121+J121/60+K121/3600-(H121+G121)/3600</f>
        <v>290</v>
      </c>
      <c r="G121" t="s">
        <f>ROUND(((B119+C119/60+D119/3600)-(B123+C123/60+D123/3600))/2*3600,0)</f>
        <v>207</v>
      </c>
      <c r="H121" t="s">
        <f>H117</f>
        <v>208</v>
      </c>
      <c r="I121" s="4" t="s">
        <f>TRVS!B25</f>
        <v>290</v>
      </c>
      <c r="J121" s="4" t="s">
        <f>TRVS!C25</f>
        <v>291</v>
      </c>
      <c r="K121" s="4" t="s">
        <f>TRVS!D25</f>
        <v>185</v>
      </c>
      <c r="L121" t="s">
        <f>L116</f>
        <v>60</v>
      </c>
      <c r="M121" s="5" t="s">
        <f>TRVS!L25</f>
        <v>292</v>
      </c>
      <c r="N121" t="s">
        <f>A121</f>
        <v>61</v>
      </c>
      <c r="O121" s="3" t="s">
        <f>M121/$M$6</f>
        <v>293</v>
      </c>
    </row>
    <row r="122">
      <c r="B122" t="s">
        <f>TRUNC(F122,0)</f>
        <v>294</v>
      </c>
      <c r="C122" t="s">
        <f>TRUNC((F122-B122)*60,0)</f>
        <v>291</v>
      </c>
      <c r="D122" s="4" t="s">
        <f>ROUND(((F122-B122)-C122/60)*3600,0)</f>
        <v>200</v>
      </c>
      <c r="E122" s="4" t="s">
        <f>E121-(B123+C123/60+D123/3600)</f>
        <v>294</v>
      </c>
      <c r="F122" s="4" t="s">
        <f>IF(E122&gt;0,E122,E122+360)</f>
        <v>294</v>
      </c>
    </row>
    <row r="123">
      <c r="B123">
        <v>180</v>
      </c>
      <c r="C123">
        <v>0</v>
      </c>
      <c r="D123" s="4">
        <v>7</v>
      </c>
    </row>
    <row r="124">
      <c r="K124" t="s">
        <v>167</v>
      </c>
      <c r="L124" t="s">
        <f>A121</f>
        <v>61</v>
      </c>
    </row>
    <row r="125">
      <c r="A125" t="s">
        <f>L116</f>
        <v>60</v>
      </c>
      <c r="B125" t="s">
        <f>TRUNC(F125,0)</f>
        <v>294</v>
      </c>
      <c r="C125" t="s">
        <f>TRUNC((F125-B125)*60,0)</f>
        <v>291</v>
      </c>
      <c r="D125" s="4" t="s">
        <f>ROUND(((F125-B125)-C125/60)*3600,0)</f>
        <v>244</v>
      </c>
      <c r="E125" s="4" t="s">
        <f>F125</f>
        <v>294</v>
      </c>
      <c r="F125" s="4" t="s">
        <f>I125+J125/60+K125/3600-(H125+G125)/3600</f>
        <v>294</v>
      </c>
      <c r="H125">
        <v>-1</v>
      </c>
      <c r="I125" s="4" t="s">
        <f>IF(I121&lt;180,I121+180,I121-180)</f>
        <v>294</v>
      </c>
      <c r="J125" s="4" t="s">
        <f>J121</f>
        <v>291</v>
      </c>
      <c r="K125" s="4" t="s">
        <f>K121</f>
        <v>185</v>
      </c>
    </row>
    <row r="126">
      <c r="B126" t="s">
        <f>TRUNC(F126,0)</f>
        <v>290</v>
      </c>
      <c r="C126" t="s">
        <f>TRUNC((F126-B126)*60,0)</f>
        <v>291</v>
      </c>
      <c r="D126" s="4" t="s">
        <f>ROUND(((F126-B126)-C126/60)*3600,0)</f>
        <v>185</v>
      </c>
      <c r="E126" s="4" t="s">
        <f>E125-(B127+C127/60+D127/3600)</f>
        <v>295</v>
      </c>
      <c r="F126" s="4" t="s">
        <f>IF(E126&gt;0,E126,E126+360)</f>
        <v>290</v>
      </c>
    </row>
    <row r="127">
      <c r="B127">
        <v>180</v>
      </c>
      <c r="C127">
        <v>0</v>
      </c>
      <c r="D127" s="4">
        <v>1</v>
      </c>
    </row>
    <row r="128"/>
    <row r="129">
      <c r="A129">
        <f>TRVS!A26</f>
        <v>0</v>
      </c>
      <c r="B129">
        <f>TRUNC(F129,0)</f>
        <v>0</v>
      </c>
      <c r="C129">
        <f>TRUNC((F129-B129)*60,0)</f>
        <v>0</v>
      </c>
      <c r="D129" s="4">
        <f>ROUND(((F129-B129)-C129/60)*3600,0)</f>
        <v>0</v>
      </c>
      <c r="E129" s="4">
        <f>F129</f>
        <v>0</v>
      </c>
      <c r="F129" s="4">
        <f>I129+J129/60+K129/3600-(H129+G129)/3600</f>
        <v>0</v>
      </c>
      <c r="G129">
        <f>ROUND(((B127+C127/60+D127/3600)-(B131+C131/60+D131/3600))/2*3600,0)</f>
        <v>0</v>
      </c>
      <c r="H129">
        <f>H125</f>
        <v>0</v>
      </c>
      <c r="I129" s="4">
        <f>TRVS!B26</f>
        <v>0</v>
      </c>
      <c r="J129" s="4">
        <f>TRVS!C26</f>
        <v>0</v>
      </c>
      <c r="K129" s="4">
        <f>TRVS!D26</f>
        <v>0</v>
      </c>
      <c r="L129">
        <f>L124</f>
        <v>0</v>
      </c>
      <c r="M129" s="5">
        <f>TRVS!L26</f>
        <v>0</v>
      </c>
      <c r="N129">
        <f>A129</f>
        <v>0</v>
      </c>
      <c r="O129" s="3">
        <f>M129/$M$6</f>
        <v>0</v>
      </c>
    </row>
    <row r="130">
      <c r="B130">
        <f>TRUNC(F130,0)</f>
        <v>0</v>
      </c>
      <c r="C130">
        <f>TRUNC((F130-B130)*60,0)</f>
        <v>0</v>
      </c>
      <c r="D130" s="4">
        <f>ROUND(((F130-B130)-C130/60)*3600,0)</f>
        <v>0</v>
      </c>
      <c r="E130" s="4">
        <f>E129-(B131+C131/60+D131/3600)</f>
        <v>0</v>
      </c>
      <c r="F130" s="4">
        <f>IF(E130&gt;0,E130,E130+360)</f>
        <v>0</v>
      </c>
    </row>
    <row r="131">
      <c r="B131">
        <v>180</v>
      </c>
      <c r="C131">
        <v>0</v>
      </c>
      <c r="D131" s="4">
        <v>0</v>
      </c>
    </row>
    <row r="132">
      <c r="K132" t="s">
        <v>167</v>
      </c>
      <c r="L132">
        <f>A129</f>
        <v>0</v>
      </c>
    </row>
    <row r="133">
      <c r="A133">
        <f>L124</f>
        <v>0</v>
      </c>
      <c r="B133">
        <f>TRUNC(F133,0)</f>
        <v>0</v>
      </c>
      <c r="C133">
        <f>TRUNC((F133-B133)*60,0)</f>
        <v>0</v>
      </c>
      <c r="D133" s="4">
        <f>ROUND(((F133-B133)-C133/60)*3600,0)</f>
        <v>0</v>
      </c>
      <c r="E133" s="4">
        <f>F133</f>
        <v>0</v>
      </c>
      <c r="F133" s="4">
        <f>I133+J133/60+K133/3600-(H133+G133)/3600</f>
        <v>0</v>
      </c>
      <c r="H133">
        <v>0</v>
      </c>
      <c r="I133" s="4">
        <f>IF(I129&lt;180,I129+180,I129-180)</f>
        <v>0</v>
      </c>
      <c r="J133" s="4">
        <f>J129</f>
        <v>0</v>
      </c>
      <c r="K133" s="4">
        <f>K129</f>
        <v>0</v>
      </c>
    </row>
    <row r="134">
      <c r="B134">
        <f>TRUNC(F134,0)</f>
        <v>0</v>
      </c>
      <c r="C134">
        <f>TRUNC((F134-B134)*60,0)</f>
        <v>0</v>
      </c>
      <c r="D134" s="4">
        <f>ROUND(((F134-B134)-C134/60)*3600,0)</f>
        <v>0</v>
      </c>
      <c r="E134" s="4">
        <f>E133-(B135+C135/60+D135/3600)</f>
        <v>0</v>
      </c>
      <c r="F134" s="4">
        <f>IF(E134&gt;0,E134,E134+360)</f>
        <v>0</v>
      </c>
    </row>
    <row r="135">
      <c r="B135">
        <v>180</v>
      </c>
      <c r="C135">
        <v>0</v>
      </c>
      <c r="D135" s="4">
        <v>0</v>
      </c>
    </row>
    <row r="137">
      <c r="A137">
        <f>TRVS!A27</f>
        <v>0</v>
      </c>
      <c r="B137">
        <f>TRUNC(F137,0)</f>
        <v>0</v>
      </c>
      <c r="C137">
        <f>TRUNC((F137-B137)*60,0)</f>
        <v>0</v>
      </c>
      <c r="D137" s="4">
        <f>ROUND(((F137-B137)-C137/60)*3600,0)</f>
        <v>0</v>
      </c>
      <c r="E137" s="4">
        <f>F137</f>
        <v>0</v>
      </c>
      <c r="F137" s="4">
        <f>I137+J137/60+K137/3600-(H137+G137)/3600</f>
        <v>0</v>
      </c>
      <c r="G137">
        <f>ROUND(((B135+C135/60+D135/3600)-(B139+C139/60+D139/3600))/2*3600,0)</f>
        <v>0</v>
      </c>
      <c r="H137">
        <f>H133</f>
        <v>0</v>
      </c>
      <c r="I137" s="4">
        <f>TRVS!B27</f>
        <v>0</v>
      </c>
      <c r="J137" s="4">
        <f>TRVS!C27</f>
        <v>0</v>
      </c>
      <c r="K137" s="4">
        <f>TRVS!D27</f>
        <v>0</v>
      </c>
      <c r="L137">
        <f>L132</f>
        <v>0</v>
      </c>
      <c r="M137" s="5">
        <f>TRVS!L27</f>
        <v>0</v>
      </c>
      <c r="N137">
        <f>A137</f>
        <v>0</v>
      </c>
      <c r="O137" s="3">
        <f>M137/$M$6</f>
        <v>0</v>
      </c>
    </row>
    <row r="138">
      <c r="B138">
        <f>TRUNC(F138,0)</f>
        <v>0</v>
      </c>
      <c r="C138">
        <f>TRUNC((F138-B138)*60,0)</f>
        <v>0</v>
      </c>
      <c r="D138" s="4">
        <f>ROUND(((F138-B138)-C138/60)*3600,0)</f>
        <v>0</v>
      </c>
      <c r="E138" s="4">
        <f>E137-(B139+C139/60+D139/3600)</f>
        <v>0</v>
      </c>
      <c r="F138" s="4">
        <f>IF(E138&gt;0,E138,E138+360)</f>
        <v>0</v>
      </c>
    </row>
    <row r="139">
      <c r="B139">
        <v>180</v>
      </c>
      <c r="C139">
        <v>0</v>
      </c>
      <c r="D139" s="4">
        <v>0</v>
      </c>
    </row>
    <row r="140">
      <c r="K140" t="s">
        <v>167</v>
      </c>
      <c r="L140">
        <f>A137</f>
        <v>0</v>
      </c>
    </row>
    <row r="141">
      <c r="A141">
        <f>L132</f>
        <v>0</v>
      </c>
      <c r="B141">
        <f>TRUNC(F141,0)</f>
        <v>0</v>
      </c>
      <c r="C141">
        <f>TRUNC((F141-B141)*60,0)</f>
        <v>0</v>
      </c>
      <c r="D141" s="4">
        <f>ROUND(((F141-B141)-C141/60)*3600,0)</f>
        <v>0</v>
      </c>
      <c r="E141" s="4">
        <f>F141</f>
        <v>0</v>
      </c>
      <c r="F141" s="4">
        <f>I141+J141/60+K141/3600-(H141+G141)/3600</f>
        <v>0</v>
      </c>
      <c r="H141">
        <v>0</v>
      </c>
      <c r="I141" s="4">
        <f>IF(I137&lt;180,I137+180,I137-180)</f>
        <v>0</v>
      </c>
      <c r="J141" s="4">
        <f>J137</f>
        <v>0</v>
      </c>
      <c r="K141" s="4">
        <f>K137</f>
        <v>0</v>
      </c>
    </row>
    <row r="142">
      <c r="B142">
        <f>TRUNC(F142,0)</f>
        <v>0</v>
      </c>
      <c r="C142">
        <f>TRUNC((F142-B142)*60,0)</f>
        <v>0</v>
      </c>
      <c r="D142" s="4">
        <f>ROUND(((F142-B142)-C142/60)*3600,0)</f>
        <v>0</v>
      </c>
      <c r="E142" s="4">
        <f>E141-(B143+C143/60+D143/3600)</f>
        <v>0</v>
      </c>
      <c r="F142" s="4">
        <f>IF(E142&gt;0,E142,E142+360)</f>
        <v>0</v>
      </c>
    </row>
    <row r="143">
      <c r="B143">
        <v>180</v>
      </c>
      <c r="C143">
        <v>0</v>
      </c>
      <c r="D143" s="4">
        <v>0</v>
      </c>
    </row>
    <row r="145">
      <c r="A145">
        <f>TRVS!A28</f>
        <v>0</v>
      </c>
      <c r="B145">
        <f>TRUNC(F145,0)</f>
        <v>0</v>
      </c>
      <c r="C145">
        <f>TRUNC((F145-B145)*60,0)</f>
        <v>0</v>
      </c>
      <c r="D145" s="4">
        <f>ROUND(((F145-B145)-C145/60)*3600,0)</f>
        <v>0</v>
      </c>
      <c r="E145" s="4">
        <f>F145</f>
        <v>0</v>
      </c>
      <c r="F145" s="4">
        <f>I145+J145/60+K145/3600-(H145+G145)/3600</f>
        <v>0</v>
      </c>
      <c r="G145">
        <f>ROUND(((B143+C143/60+D143/3600)-(B147+C147/60+D147/3600))/2*3600,0)</f>
        <v>0</v>
      </c>
      <c r="H145">
        <f>H141</f>
        <v>0</v>
      </c>
      <c r="I145" s="4">
        <f>TRVS!B28</f>
        <v>0</v>
      </c>
      <c r="J145" s="4">
        <f>TRVS!C28</f>
        <v>0</v>
      </c>
      <c r="K145" s="4">
        <f>TRVS!D28</f>
        <v>0</v>
      </c>
      <c r="L145">
        <f>L140</f>
        <v>0</v>
      </c>
      <c r="M145" s="5">
        <f>TRVS!L28</f>
        <v>0</v>
      </c>
      <c r="N145">
        <f>A145</f>
        <v>0</v>
      </c>
      <c r="O145" s="3">
        <f>M145/$M$6</f>
        <v>0</v>
      </c>
    </row>
    <row r="146">
      <c r="B146">
        <f>TRUNC(F146,0)</f>
        <v>0</v>
      </c>
      <c r="C146">
        <f>TRUNC((F146-B146)*60,0)</f>
        <v>0</v>
      </c>
      <c r="D146" s="4">
        <f>ROUND(((F146-B146)-C146/60)*3600,0)</f>
        <v>0</v>
      </c>
      <c r="E146" s="4">
        <f>E145-(B147+C147/60+D147/3600)</f>
        <v>0</v>
      </c>
      <c r="F146" s="4">
        <f>IF(E146&gt;0,E146,E146+360)</f>
        <v>0</v>
      </c>
    </row>
    <row r="147">
      <c r="B147">
        <v>180</v>
      </c>
      <c r="C147">
        <v>0</v>
      </c>
      <c r="D147" s="4">
        <v>0</v>
      </c>
    </row>
    <row r="148">
      <c r="K148" t="s">
        <v>167</v>
      </c>
      <c r="L148">
        <f>A145</f>
        <v>0</v>
      </c>
    </row>
    <row r="149">
      <c r="A149">
        <f>L140</f>
        <v>0</v>
      </c>
      <c r="B149">
        <f>TRUNC(F149,0)</f>
        <v>0</v>
      </c>
      <c r="C149">
        <f>TRUNC((F149-B149)*60,0)</f>
        <v>0</v>
      </c>
      <c r="D149" s="4">
        <f>ROUND(((F149-B149)-C149/60)*3600,0)</f>
        <v>0</v>
      </c>
      <c r="E149" s="4">
        <f>F149</f>
        <v>0</v>
      </c>
      <c r="F149" s="4">
        <f>I149+J149/60+K149/3600-(H149+G149)/3600</f>
        <v>0</v>
      </c>
      <c r="H149">
        <v>0</v>
      </c>
      <c r="I149" s="4">
        <f>IF(I145&lt;180,I145+180,I145-180)</f>
        <v>0</v>
      </c>
      <c r="J149" s="4">
        <f>J145</f>
        <v>0</v>
      </c>
      <c r="K149" s="4">
        <f>K145</f>
        <v>0</v>
      </c>
    </row>
    <row r="150">
      <c r="B150">
        <f>TRUNC(F150,0)</f>
        <v>0</v>
      </c>
      <c r="C150">
        <f>TRUNC((F150-B150)*60,0)</f>
        <v>0</v>
      </c>
      <c r="D150" s="4">
        <f>ROUND(((F150-B150)-C150/60)*3600,0)</f>
        <v>0</v>
      </c>
      <c r="E150" s="4">
        <f>E149-(B151+C151/60+D151/3600)</f>
        <v>0</v>
      </c>
      <c r="F150" s="4">
        <f>IF(E150&gt;0,E150,E150+360)</f>
        <v>0</v>
      </c>
    </row>
    <row r="151">
      <c r="B151">
        <v>180</v>
      </c>
      <c r="C151">
        <v>0</v>
      </c>
      <c r="D151" s="4">
        <v>0</v>
      </c>
    </row>
    <row r="153">
      <c r="A153">
        <f>TRVS!A29</f>
        <v>0</v>
      </c>
      <c r="B153">
        <f>TRUNC(F153,0)</f>
        <v>0</v>
      </c>
      <c r="C153">
        <f>TRUNC((F153-B153)*60,0)</f>
        <v>0</v>
      </c>
      <c r="D153" s="4">
        <f>ROUND(((F153-B153)-C153/60)*3600,0)</f>
        <v>0</v>
      </c>
      <c r="E153" s="4">
        <f>F153</f>
        <v>0</v>
      </c>
      <c r="F153" s="4">
        <f>I153+J153/60+K153/3600-(H153+G153)/3600</f>
        <v>0</v>
      </c>
      <c r="G153">
        <f>ROUND(((B151+C151/60+D151/3600)-(B155+C155/60+D155/3600))/2*3600,0)</f>
        <v>0</v>
      </c>
      <c r="H153">
        <f>H149</f>
        <v>0</v>
      </c>
      <c r="I153" s="4">
        <f>TRVS!B29</f>
        <v>0</v>
      </c>
      <c r="J153" s="4">
        <f>TRVS!C29</f>
        <v>0</v>
      </c>
      <c r="K153" s="4">
        <f>TRVS!D29</f>
        <v>0</v>
      </c>
      <c r="L153">
        <f>L148</f>
        <v>0</v>
      </c>
      <c r="M153" s="5">
        <f>TRVS!L29</f>
        <v>0</v>
      </c>
      <c r="N153">
        <f>A153</f>
        <v>0</v>
      </c>
      <c r="O153" s="3">
        <f>M153/$M$6</f>
        <v>0</v>
      </c>
    </row>
    <row r="154">
      <c r="B154">
        <f>TRUNC(F154,0)</f>
        <v>0</v>
      </c>
      <c r="C154">
        <f>TRUNC((F154-B154)*60,0)</f>
        <v>0</v>
      </c>
      <c r="D154" s="4">
        <f>ROUND(((F154-B154)-C154/60)*3600,0)</f>
        <v>0</v>
      </c>
      <c r="E154" s="4">
        <f>E153-(B155+C155/60+D155/3600)</f>
        <v>0</v>
      </c>
      <c r="F154" s="4">
        <f>IF(E154&gt;0,E154,E154+360)</f>
        <v>0</v>
      </c>
    </row>
    <row r="155">
      <c r="B155">
        <v>180</v>
      </c>
      <c r="C155">
        <v>0</v>
      </c>
      <c r="D155" s="4">
        <v>0</v>
      </c>
    </row>
    <row r="156">
      <c r="K156" t="s">
        <v>167</v>
      </c>
      <c r="L156">
        <f>A153</f>
        <v>0</v>
      </c>
    </row>
    <row r="157">
      <c r="A157">
        <f>L148</f>
        <v>0</v>
      </c>
      <c r="B157">
        <f>TRUNC(F157,0)</f>
        <v>0</v>
      </c>
      <c r="C157">
        <f>TRUNC((F157-B157)*60,0)</f>
        <v>0</v>
      </c>
      <c r="D157" s="4">
        <f>ROUND(((F157-B157)-C157/60)*3600,0)</f>
        <v>0</v>
      </c>
      <c r="E157" s="4">
        <f>F157</f>
        <v>0</v>
      </c>
      <c r="F157" s="4">
        <f>I157+J157/60+K157/3600-(H157+G157)/3600</f>
        <v>0</v>
      </c>
      <c r="H157">
        <v>0</v>
      </c>
      <c r="I157" s="4">
        <f>IF(I153&lt;180,I153+180,I153-180)</f>
        <v>0</v>
      </c>
      <c r="J157" s="4">
        <f>J153</f>
        <v>0</v>
      </c>
      <c r="K157" s="4">
        <f>K153</f>
        <v>0</v>
      </c>
    </row>
    <row r="158">
      <c r="B158">
        <f>TRUNC(F158,0)</f>
        <v>0</v>
      </c>
      <c r="C158">
        <f>TRUNC((F158-B158)*60,0)</f>
        <v>0</v>
      </c>
      <c r="D158" s="4">
        <f>ROUND(((F158-B158)-C158/60)*3600,0)</f>
        <v>0</v>
      </c>
      <c r="E158" s="4">
        <f>E157-(B159+C159/60+D159/3600)</f>
        <v>0</v>
      </c>
      <c r="F158" s="4">
        <f>IF(E158&gt;0,E158,E158+360)</f>
        <v>0</v>
      </c>
    </row>
    <row r="159">
      <c r="B159">
        <v>180</v>
      </c>
      <c r="C159">
        <v>0</v>
      </c>
      <c r="D159" s="4">
        <v>0</v>
      </c>
    </row>
    <row r="161">
      <c r="A161">
        <f>TRVS!A30</f>
        <v>0</v>
      </c>
      <c r="B161">
        <f>TRUNC(F161,0)</f>
        <v>0</v>
      </c>
      <c r="C161">
        <f>TRUNC((F161-B161)*60,0)</f>
        <v>0</v>
      </c>
      <c r="D161" s="4">
        <f>ROUND(((F161-B161)-C161/60)*3600,0)</f>
        <v>0</v>
      </c>
      <c r="E161" s="4">
        <f>F161</f>
        <v>0</v>
      </c>
      <c r="F161" s="4">
        <f>I161+J161/60+K161/3600-(H161+G161)/3600</f>
        <v>0</v>
      </c>
      <c r="G161">
        <f>ROUND(((B159+C159/60+D159/3600)-(B163+C163/60+D163/3600))/2*3600,0)</f>
        <v>0</v>
      </c>
      <c r="H161">
        <f>H157</f>
        <v>0</v>
      </c>
      <c r="I161" s="4">
        <f>TRVS!B30</f>
        <v>0</v>
      </c>
      <c r="J161" s="4">
        <f>TRVS!C30</f>
        <v>0</v>
      </c>
      <c r="K161" s="4">
        <f>TRVS!D30</f>
        <v>0</v>
      </c>
      <c r="L161">
        <f>L156</f>
        <v>0</v>
      </c>
      <c r="M161" s="5">
        <f>TRVS!L30</f>
        <v>0</v>
      </c>
      <c r="N161">
        <f>A161</f>
        <v>0</v>
      </c>
      <c r="O161" s="3">
        <f>M161/$M$6</f>
        <v>0</v>
      </c>
    </row>
    <row r="162">
      <c r="B162">
        <f>TRUNC(F162,0)</f>
        <v>0</v>
      </c>
      <c r="C162">
        <f>TRUNC((F162-B162)*60,0)</f>
        <v>0</v>
      </c>
      <c r="D162" s="4">
        <f>ROUND(((F162-B162)-C162/60)*3600,0)</f>
        <v>0</v>
      </c>
      <c r="E162" s="4">
        <f>E161-(B163+C163/60+D163/3600)</f>
        <v>0</v>
      </c>
      <c r="F162" s="4">
        <f>IF(E162&gt;0,E162,E162+360)</f>
        <v>0</v>
      </c>
    </row>
    <row r="163">
      <c r="B163">
        <v>180</v>
      </c>
      <c r="C163">
        <v>0</v>
      </c>
      <c r="D163" s="4">
        <v>0</v>
      </c>
    </row>
    <row r="164">
      <c r="K164" t="s">
        <v>167</v>
      </c>
      <c r="L164">
        <f>A161</f>
        <v>0</v>
      </c>
    </row>
    <row r="165">
      <c r="A165">
        <f>L156</f>
        <v>0</v>
      </c>
      <c r="B165">
        <f>TRUNC(F165,0)</f>
        <v>0</v>
      </c>
      <c r="C165">
        <f>TRUNC((F165-B165)*60,0)</f>
        <v>0</v>
      </c>
      <c r="D165" s="4">
        <f>ROUND(((F165-B165)-C165/60)*3600,0)</f>
        <v>0</v>
      </c>
      <c r="E165" s="4">
        <f>F165</f>
        <v>0</v>
      </c>
      <c r="F165" s="4">
        <f>I165+J165/60+K165/3600-(H165+G165)/3600</f>
        <v>0</v>
      </c>
      <c r="H165">
        <v>0</v>
      </c>
      <c r="I165" s="4">
        <f>IF(I161&lt;180,I161+180,I161-180)</f>
        <v>0</v>
      </c>
      <c r="J165" s="4">
        <f>J161</f>
        <v>0</v>
      </c>
      <c r="K165" s="4">
        <f>K161</f>
        <v>0</v>
      </c>
    </row>
    <row r="166">
      <c r="B166">
        <f>TRUNC(F166,0)</f>
        <v>0</v>
      </c>
      <c r="C166">
        <f>TRUNC((F166-B166)*60,0)</f>
        <v>0</v>
      </c>
      <c r="D166" s="4">
        <f>ROUND(((F166-B166)-C166/60)*3600,0)</f>
        <v>0</v>
      </c>
      <c r="E166" s="4">
        <f>E165-(B167+C167/60+D167/3600)</f>
        <v>0</v>
      </c>
      <c r="F166" s="4">
        <f>IF(E166&gt;0,E166,E166+360)</f>
        <v>0</v>
      </c>
    </row>
    <row r="167">
      <c r="B167">
        <v>180</v>
      </c>
      <c r="C167">
        <v>0</v>
      </c>
      <c r="D167" s="4">
        <v>0</v>
      </c>
    </row>
    <row r="169">
      <c r="A169">
        <f>TRVS!A31</f>
        <v>0</v>
      </c>
      <c r="B169">
        <f>TRUNC(F169,0)</f>
        <v>0</v>
      </c>
      <c r="C169">
        <f>TRUNC((F169-B169)*60,0)</f>
        <v>0</v>
      </c>
      <c r="D169" s="4">
        <f>ROUND(((F169-B169)-C169/60)*3600,0)</f>
        <v>0</v>
      </c>
      <c r="E169" s="4">
        <f>F169</f>
        <v>0</v>
      </c>
      <c r="F169" s="4">
        <f>I169+J169/60+K169/3600-(H169+G169)/3600</f>
        <v>0</v>
      </c>
      <c r="G169">
        <f>ROUND(((B167+C167/60+D167/3600)-(B171+C171/60+D171/3600))/2*3600,0)</f>
        <v>0</v>
      </c>
      <c r="H169">
        <f>H165</f>
        <v>0</v>
      </c>
      <c r="I169" s="4">
        <f>TRVS!B31</f>
        <v>0</v>
      </c>
      <c r="J169" s="4">
        <f>TRVS!C31</f>
        <v>0</v>
      </c>
      <c r="K169" s="4">
        <f>TRVS!D31</f>
        <v>0</v>
      </c>
      <c r="L169">
        <f>L164</f>
        <v>0</v>
      </c>
      <c r="M169" s="5">
        <f>TRVS!L31</f>
        <v>0</v>
      </c>
      <c r="N169">
        <f>A169</f>
        <v>0</v>
      </c>
      <c r="O169" s="3">
        <f>M169/$M$6</f>
        <v>0</v>
      </c>
    </row>
    <row r="170">
      <c r="B170">
        <f>TRUNC(F170,0)</f>
        <v>0</v>
      </c>
      <c r="C170">
        <f>TRUNC((F170-B170)*60,0)</f>
        <v>0</v>
      </c>
      <c r="D170" s="4">
        <f>ROUND(((F170-B170)-C170/60)*3600,0)</f>
        <v>0</v>
      </c>
      <c r="E170" s="4">
        <f>E169-(B171+C171/60+D171/3600)</f>
        <v>0</v>
      </c>
      <c r="F170" s="4">
        <f>IF(E170&gt;0,E170,E170+360)</f>
        <v>0</v>
      </c>
    </row>
    <row r="171">
      <c r="B171">
        <v>180</v>
      </c>
      <c r="C171">
        <v>0</v>
      </c>
      <c r="D171" s="4">
        <v>0</v>
      </c>
    </row>
    <row r="172">
      <c r="K172" t="s">
        <v>167</v>
      </c>
      <c r="L172">
        <f>A169</f>
        <v>0</v>
      </c>
    </row>
    <row r="173">
      <c r="A173">
        <f>L164</f>
        <v>0</v>
      </c>
      <c r="B173">
        <f>TRUNC(F173,0)</f>
        <v>0</v>
      </c>
      <c r="C173">
        <f>TRUNC((F173-B173)*60,0)</f>
        <v>0</v>
      </c>
      <c r="D173" s="4">
        <f>ROUND(((F173-B173)-C173/60)*3600,0)</f>
        <v>0</v>
      </c>
      <c r="E173" s="4">
        <f>F173</f>
        <v>0</v>
      </c>
      <c r="F173" s="4">
        <f>I173+J173/60+K173/3600-(H173+G173)/3600</f>
        <v>0</v>
      </c>
      <c r="H173">
        <v>0</v>
      </c>
      <c r="I173" s="4">
        <f>IF(I169&lt;180,I169+180,I169-180)</f>
        <v>0</v>
      </c>
      <c r="J173" s="4">
        <f>J169</f>
        <v>0</v>
      </c>
      <c r="K173" s="4">
        <f>K169</f>
        <v>0</v>
      </c>
    </row>
    <row r="174">
      <c r="B174">
        <f>TRUNC(F174,0)</f>
        <v>0</v>
      </c>
      <c r="C174">
        <f>TRUNC((F174-B174)*60,0)</f>
        <v>0</v>
      </c>
      <c r="D174" s="4">
        <f>ROUND(((F174-B174)-C174/60)*3600,0)</f>
        <v>0</v>
      </c>
      <c r="E174" s="4">
        <f>E173-(B175+C175/60+D175/3600)</f>
        <v>0</v>
      </c>
      <c r="F174" s="4">
        <f>IF(E174&gt;0,E174,E174+360)</f>
        <v>0</v>
      </c>
    </row>
    <row r="175">
      <c r="B175">
        <v>180</v>
      </c>
      <c r="C175">
        <v>0</v>
      </c>
      <c r="D175" s="4">
        <v>0</v>
      </c>
    </row>
    <row r="177">
      <c r="A177">
        <f>TRVS!A32</f>
        <v>0</v>
      </c>
      <c r="B177">
        <f>TRUNC(F177,0)</f>
        <v>0</v>
      </c>
      <c r="C177">
        <f>TRUNC((F177-B177)*60,0)</f>
        <v>0</v>
      </c>
      <c r="D177" s="4">
        <f>ROUND(((F177-B177)-C177/60)*3600,0)</f>
        <v>0</v>
      </c>
      <c r="E177" s="4">
        <f>F177</f>
        <v>0</v>
      </c>
      <c r="F177" s="4">
        <f>I177+J177/60+K177/3600-(H177+G177)/3600</f>
        <v>0</v>
      </c>
      <c r="G177">
        <f>ROUND(((B175+C175/60+D175/3600)-(B179+C179/60+D179/3600))/2*3600,0)</f>
        <v>0</v>
      </c>
      <c r="H177">
        <f>H173</f>
        <v>0</v>
      </c>
      <c r="I177" s="4">
        <f>TRVS!B32</f>
        <v>0</v>
      </c>
      <c r="J177" s="4">
        <f>TRVS!C32</f>
        <v>0</v>
      </c>
      <c r="K177" s="4">
        <f>TRVS!D32</f>
        <v>0</v>
      </c>
      <c r="L177">
        <f>L172</f>
        <v>0</v>
      </c>
      <c r="M177" s="5">
        <f>TRVS!L32</f>
        <v>0</v>
      </c>
      <c r="N177">
        <f>A177</f>
        <v>0</v>
      </c>
      <c r="O177" s="3">
        <f>M177/$M$6</f>
        <v>0</v>
      </c>
    </row>
    <row r="178">
      <c r="B178">
        <f>TRUNC(F178,0)</f>
        <v>0</v>
      </c>
      <c r="C178">
        <f>TRUNC((F178-B178)*60,0)</f>
        <v>0</v>
      </c>
      <c r="D178" s="4">
        <f>ROUND(((F178-B178)-C178/60)*3600,0)</f>
        <v>0</v>
      </c>
      <c r="E178" s="4">
        <f>E177-(B179+C179/60+D179/3600)</f>
        <v>0</v>
      </c>
      <c r="F178" s="4">
        <f>IF(E178&gt;0,E178,E178+360)</f>
        <v>0</v>
      </c>
    </row>
    <row r="179">
      <c r="B179">
        <v>180</v>
      </c>
      <c r="C179">
        <v>0</v>
      </c>
      <c r="D179" s="4">
        <v>0</v>
      </c>
    </row>
    <row r="180">
      <c r="K180" t="s">
        <v>167</v>
      </c>
      <c r="L180">
        <f>A177</f>
        <v>0</v>
      </c>
    </row>
    <row r="181">
      <c r="A181">
        <f>L172</f>
        <v>0</v>
      </c>
      <c r="B181">
        <f>TRUNC(F181,0)</f>
        <v>0</v>
      </c>
      <c r="C181">
        <f>TRUNC((F181-B181)*60,0)</f>
        <v>0</v>
      </c>
      <c r="D181" s="4">
        <f>ROUND(((F181-B181)-C181/60)*3600,0)</f>
        <v>0</v>
      </c>
      <c r="E181" s="4">
        <f>F181</f>
        <v>0</v>
      </c>
      <c r="F181" s="4">
        <f>I181+J181/60+K181/3600-(H181+G181)/3600</f>
        <v>0</v>
      </c>
      <c r="H181">
        <v>0</v>
      </c>
      <c r="I181" s="4">
        <f>IF(I177&lt;180,I177+180,I177-180)</f>
        <v>0</v>
      </c>
      <c r="J181" s="4">
        <f>J177</f>
        <v>0</v>
      </c>
      <c r="K181" s="4">
        <f>K177</f>
        <v>0</v>
      </c>
    </row>
    <row r="182">
      <c r="B182">
        <f>TRUNC(F182,0)</f>
        <v>0</v>
      </c>
      <c r="C182">
        <f>TRUNC((F182-B182)*60,0)</f>
        <v>0</v>
      </c>
      <c r="D182" s="4">
        <f>ROUND(((F182-B182)-C182/60)*3600,0)</f>
        <v>0</v>
      </c>
      <c r="E182" s="4">
        <f>E181-(B183+C183/60+D183/3600)</f>
        <v>0</v>
      </c>
      <c r="F182" s="4">
        <f>IF(E182&gt;0,E182,E182+360)</f>
        <v>0</v>
      </c>
    </row>
    <row r="183">
      <c r="B183">
        <v>180</v>
      </c>
      <c r="C183">
        <v>0</v>
      </c>
      <c r="D183" s="4">
        <v>0</v>
      </c>
    </row>
    <row r="185">
      <c r="A185">
        <f>TRVS!A33</f>
        <v>0</v>
      </c>
      <c r="B185">
        <f>TRUNC(F185,0)</f>
        <v>0</v>
      </c>
      <c r="C185">
        <f>TRUNC((F185-B185)*60,0)</f>
        <v>0</v>
      </c>
      <c r="D185" s="4">
        <f>ROUND(((F185-B185)-C185/60)*3600,0)</f>
        <v>0</v>
      </c>
      <c r="E185" s="4">
        <f>F185</f>
        <v>0</v>
      </c>
      <c r="F185" s="4">
        <f>I185+J185/60+K185/3600-(H185+G185)/3600</f>
        <v>0</v>
      </c>
      <c r="G185">
        <f>ROUND(((B183+C183/60+D183/3600)-(B187+C187/60+D187/3600))/2*3600,0)</f>
        <v>0</v>
      </c>
      <c r="H185">
        <f>H181</f>
        <v>0</v>
      </c>
      <c r="I185" s="4">
        <f>TRVS!B33</f>
        <v>0</v>
      </c>
      <c r="J185" s="4">
        <f>TRVS!C33</f>
        <v>0</v>
      </c>
      <c r="K185" s="4">
        <f>TRVS!D33</f>
        <v>0</v>
      </c>
      <c r="L185">
        <f>L180</f>
        <v>0</v>
      </c>
      <c r="M185" s="5">
        <f>TRVS!L33</f>
        <v>0</v>
      </c>
      <c r="N185">
        <f>A185</f>
        <v>0</v>
      </c>
      <c r="O185" s="3">
        <f>M185/$M$6</f>
        <v>0</v>
      </c>
    </row>
    <row r="186">
      <c r="B186">
        <f>TRUNC(F186,0)</f>
        <v>0</v>
      </c>
      <c r="C186">
        <f>TRUNC((F186-B186)*60,0)</f>
        <v>0</v>
      </c>
      <c r="D186" s="4">
        <f>ROUND(((F186-B186)-C186/60)*3600,0)</f>
        <v>0</v>
      </c>
      <c r="E186" s="4">
        <f>E185-(B187+C187/60+D187/3600)</f>
        <v>0</v>
      </c>
      <c r="F186" s="4">
        <f>IF(E186&gt;0,E186,E186+360)</f>
        <v>0</v>
      </c>
    </row>
    <row r="187">
      <c r="B187">
        <v>180</v>
      </c>
      <c r="C187">
        <v>0</v>
      </c>
      <c r="D187" s="4">
        <v>0</v>
      </c>
    </row>
    <row r="188">
      <c r="K188" t="s">
        <v>167</v>
      </c>
      <c r="L188">
        <f>A185</f>
        <v>0</v>
      </c>
    </row>
    <row r="189">
      <c r="A189">
        <f>L180</f>
        <v>0</v>
      </c>
      <c r="B189">
        <f>TRUNC(F189,0)</f>
        <v>0</v>
      </c>
      <c r="C189">
        <f>TRUNC((F189-B189)*60,0)</f>
        <v>0</v>
      </c>
      <c r="D189" s="4">
        <f>ROUND(((F189-B189)-C189/60)*3600,0)</f>
        <v>0</v>
      </c>
      <c r="E189" s="4">
        <f>F189</f>
        <v>0</v>
      </c>
      <c r="F189" s="4">
        <f>I189+J189/60+K189/3600-(H189+G189)/3600</f>
        <v>0</v>
      </c>
      <c r="H189">
        <v>0</v>
      </c>
      <c r="I189" s="4">
        <f>IF(I185&lt;180,I185+180,I185-180)</f>
        <v>0</v>
      </c>
      <c r="J189" s="4">
        <f>J185</f>
        <v>0</v>
      </c>
      <c r="K189" s="4">
        <f>K185</f>
        <v>0</v>
      </c>
    </row>
    <row r="190">
      <c r="B190">
        <f>TRUNC(F190,0)</f>
        <v>0</v>
      </c>
      <c r="C190">
        <f>TRUNC((F190-B190)*60,0)</f>
        <v>0</v>
      </c>
      <c r="D190" s="4">
        <f>ROUND(((F190-B190)-C190/60)*3600,0)</f>
        <v>0</v>
      </c>
      <c r="E190" s="4">
        <f>E189-(B191+C191/60+D191/3600)</f>
        <v>0</v>
      </c>
      <c r="F190" s="4">
        <f>IF(E190&gt;0,E190,E190+360)</f>
        <v>0</v>
      </c>
    </row>
    <row r="191">
      <c r="B191">
        <v>180</v>
      </c>
      <c r="C191">
        <v>0</v>
      </c>
      <c r="D191" s="4">
        <v>0</v>
      </c>
    </row>
    <row r="193">
      <c r="A193">
        <f>TRVS!A34</f>
        <v>0</v>
      </c>
      <c r="B193">
        <f>TRUNC(F193,0)</f>
        <v>0</v>
      </c>
      <c r="C193">
        <f>TRUNC((F193-B193)*60,0)</f>
        <v>0</v>
      </c>
      <c r="D193" s="4">
        <f>ROUND(((F193-B193)-C193/60)*3600,0)</f>
        <v>0</v>
      </c>
      <c r="E193" s="4">
        <f>F193</f>
        <v>0</v>
      </c>
      <c r="F193" s="4">
        <f>I193+J193/60+K193/3600-(H193+G193)/3600</f>
        <v>0</v>
      </c>
      <c r="G193">
        <f>ROUND(((B191+C191/60+D191/3600)-(B195+C195/60+D195/3600))/2*3600,0)</f>
        <v>0</v>
      </c>
      <c r="H193">
        <f>H189</f>
        <v>0</v>
      </c>
      <c r="I193" s="4">
        <f>TRVS!B34</f>
        <v>0</v>
      </c>
      <c r="J193" s="4">
        <f>TRVS!C34</f>
        <v>0</v>
      </c>
      <c r="K193" s="4">
        <f>TRVS!D34</f>
        <v>0</v>
      </c>
      <c r="L193">
        <f>L188</f>
        <v>0</v>
      </c>
      <c r="M193" s="5">
        <f>TRVS!L34</f>
        <v>0</v>
      </c>
      <c r="N193">
        <f>A193</f>
        <v>0</v>
      </c>
      <c r="O193" s="3">
        <f>M193/$M$6</f>
        <v>0</v>
      </c>
    </row>
    <row r="194">
      <c r="B194">
        <f>TRUNC(F194,0)</f>
        <v>0</v>
      </c>
      <c r="C194">
        <f>TRUNC((F194-B194)*60,0)</f>
        <v>0</v>
      </c>
      <c r="D194" s="4">
        <f>ROUND(((F194-B194)-C194/60)*3600,0)</f>
        <v>0</v>
      </c>
      <c r="E194" s="4">
        <f>E193-(B195+C195/60+D195/3600)</f>
        <v>0</v>
      </c>
      <c r="F194" s="4">
        <f>IF(E194&gt;0,E194,E194+360)</f>
        <v>0</v>
      </c>
    </row>
    <row r="195">
      <c r="B195">
        <v>180</v>
      </c>
      <c r="C195">
        <v>0</v>
      </c>
      <c r="D195" s="4">
        <v>0</v>
      </c>
    </row>
    <row r="196">
      <c r="K196" t="s">
        <v>167</v>
      </c>
      <c r="L196">
        <f>A193</f>
        <v>0</v>
      </c>
    </row>
    <row r="197">
      <c r="A197">
        <f>L188</f>
        <v>0</v>
      </c>
      <c r="B197">
        <f>TRUNC(F197,0)</f>
        <v>0</v>
      </c>
      <c r="C197">
        <f>TRUNC((F197-B197)*60,0)</f>
        <v>0</v>
      </c>
      <c r="D197" s="4">
        <f>ROUND(((F197-B197)-C197/60)*3600,0)</f>
        <v>0</v>
      </c>
      <c r="E197" s="4">
        <f>F197</f>
        <v>0</v>
      </c>
      <c r="F197" s="4">
        <f>I197+J197/60+K197/3600-(H197+G197)/3600</f>
        <v>0</v>
      </c>
      <c r="H197">
        <v>0</v>
      </c>
      <c r="I197" s="4">
        <f>IF(I193&lt;180,I193+180,I193-180)</f>
        <v>0</v>
      </c>
      <c r="J197" s="4">
        <f>J193</f>
        <v>0</v>
      </c>
      <c r="K197" s="4">
        <f>K193</f>
        <v>0</v>
      </c>
    </row>
    <row r="198">
      <c r="B198">
        <f>TRUNC(F198,0)</f>
        <v>0</v>
      </c>
      <c r="C198">
        <f>TRUNC((F198-B198)*60,0)</f>
        <v>0</v>
      </c>
      <c r="D198" s="4">
        <f>ROUND(((F198-B198)-C198/60)*3600,0)</f>
        <v>0</v>
      </c>
      <c r="E198" s="4">
        <f>E197-(B199+C199/60+D199/3600)</f>
        <v>0</v>
      </c>
      <c r="F198" s="4">
        <f>IF(E198&gt;0,E198,E198+360)</f>
        <v>0</v>
      </c>
    </row>
    <row r="199">
      <c r="B199">
        <v>180</v>
      </c>
      <c r="C199">
        <v>0</v>
      </c>
      <c r="D199" s="4">
        <v>0</v>
      </c>
    </row>
    <row r="201">
      <c r="A201">
        <f>TRVS!A35</f>
        <v>0</v>
      </c>
      <c r="B201">
        <f>TRUNC(F201,0)</f>
        <v>0</v>
      </c>
      <c r="C201">
        <f>TRUNC((F201-B201)*60,0)</f>
        <v>0</v>
      </c>
      <c r="D201" s="4">
        <f>ROUND(((F201-B201)-C201/60)*3600,0)</f>
        <v>0</v>
      </c>
      <c r="E201" s="4">
        <f>F201</f>
        <v>0</v>
      </c>
      <c r="F201" s="4">
        <f>I201+J201/60+K201/3600-(H201+G201)/3600</f>
        <v>0</v>
      </c>
      <c r="G201">
        <f>ROUND(((B199+C199/60+D199/3600)-(B203+C203/60+D203/3600))/2*3600,0)</f>
        <v>0</v>
      </c>
      <c r="H201">
        <f>H197</f>
        <v>0</v>
      </c>
      <c r="I201" s="4">
        <f>TRVS!B35</f>
        <v>0</v>
      </c>
      <c r="J201" s="4">
        <f>TRVS!C35</f>
        <v>0</v>
      </c>
      <c r="K201" s="4">
        <f>TRVS!D35</f>
        <v>0</v>
      </c>
      <c r="L201">
        <f>L196</f>
        <v>0</v>
      </c>
      <c r="M201" s="5">
        <f>TRVS!L35</f>
        <v>0</v>
      </c>
      <c r="N201">
        <f>A201</f>
        <v>0</v>
      </c>
      <c r="O201" s="3">
        <f>M201/$M$6</f>
        <v>0</v>
      </c>
    </row>
    <row r="202">
      <c r="B202">
        <f>TRUNC(F202,0)</f>
        <v>0</v>
      </c>
      <c r="C202">
        <f>TRUNC((F202-B202)*60,0)</f>
        <v>0</v>
      </c>
      <c r="D202" s="4">
        <f>ROUND(((F202-B202)-C202/60)*3600,0)</f>
        <v>0</v>
      </c>
      <c r="E202" s="4">
        <f>E201-(B203+C203/60+D203/3600)</f>
        <v>0</v>
      </c>
      <c r="F202" s="4">
        <f>IF(E202&gt;0,E202,E202+360)</f>
        <v>0</v>
      </c>
    </row>
    <row r="203">
      <c r="B203">
        <v>180</v>
      </c>
      <c r="C203">
        <v>0</v>
      </c>
      <c r="D203" s="4">
        <v>0</v>
      </c>
    </row>
    <row r="204">
      <c r="K204" t="s">
        <v>167</v>
      </c>
      <c r="L204">
        <f>A201</f>
        <v>0</v>
      </c>
    </row>
    <row r="205">
      <c r="A205">
        <f>L196</f>
        <v>0</v>
      </c>
      <c r="B205">
        <f>TRUNC(F205,0)</f>
        <v>0</v>
      </c>
      <c r="C205">
        <f>TRUNC((F205-B205)*60,0)</f>
        <v>0</v>
      </c>
      <c r="D205" s="4">
        <f>ROUND(((F205-B205)-C205/60)*3600,0)</f>
        <v>0</v>
      </c>
      <c r="E205" s="4">
        <f>F205</f>
        <v>0</v>
      </c>
      <c r="F205" s="4">
        <f>I205+J205/60+K205/3600-(H205+G205)/3600</f>
        <v>0</v>
      </c>
      <c r="H205">
        <v>0</v>
      </c>
      <c r="I205" s="4">
        <f>IF(I201&lt;180,I201+180,I201-180)</f>
        <v>0</v>
      </c>
      <c r="J205" s="4">
        <f>J201</f>
        <v>0</v>
      </c>
      <c r="K205" s="4">
        <f>K201</f>
        <v>0</v>
      </c>
    </row>
    <row r="206">
      <c r="B206">
        <f>TRUNC(F206,0)</f>
        <v>0</v>
      </c>
      <c r="C206">
        <f>TRUNC((F206-B206)*60,0)</f>
        <v>0</v>
      </c>
      <c r="D206" s="4">
        <f>ROUND(((F206-B206)-C206/60)*3600,0)</f>
        <v>0</v>
      </c>
      <c r="E206" s="4">
        <f>E205-(B207+C207/60+D207/3600)</f>
        <v>0</v>
      </c>
      <c r="F206" s="4">
        <f>IF(E206&gt;0,E206,E206+360)</f>
        <v>0</v>
      </c>
    </row>
    <row r="207">
      <c r="B207">
        <v>180</v>
      </c>
      <c r="C207">
        <v>0</v>
      </c>
      <c r="D207" s="4">
        <v>0</v>
      </c>
    </row>
    <row r="209">
      <c r="A209">
        <f>TRVS!A36</f>
        <v>0</v>
      </c>
      <c r="B209">
        <f>TRUNC(F209,0)</f>
        <v>0</v>
      </c>
      <c r="C209">
        <f>TRUNC((F209-B209)*60,0)</f>
        <v>0</v>
      </c>
      <c r="D209" s="4">
        <f>ROUND(((F209-B209)-C209/60)*3600,0)</f>
        <v>0</v>
      </c>
      <c r="E209" s="4">
        <f>F209</f>
        <v>0</v>
      </c>
      <c r="F209" s="4">
        <f>I209+J209/60+K209/3600-(H209+G209)/3600</f>
        <v>0</v>
      </c>
      <c r="G209">
        <f>ROUND(((B207+C207/60+D207/3600)-(B211+C211/60+D211/3600))/2*3600,0)</f>
        <v>0</v>
      </c>
      <c r="H209">
        <f>H205</f>
        <v>0</v>
      </c>
      <c r="I209" s="4">
        <f>TRVS!B36</f>
        <v>0</v>
      </c>
      <c r="J209" s="4">
        <f>TRVS!C36</f>
        <v>0</v>
      </c>
      <c r="K209" s="4">
        <f>TRVS!D36</f>
        <v>0</v>
      </c>
      <c r="L209">
        <f>L204</f>
        <v>0</v>
      </c>
      <c r="M209" s="5">
        <f>TRVS!L36</f>
        <v>0</v>
      </c>
      <c r="N209">
        <f>A209</f>
        <v>0</v>
      </c>
      <c r="O209" s="3">
        <f>M209/$M$6</f>
        <v>0</v>
      </c>
    </row>
    <row r="210">
      <c r="B210">
        <f>TRUNC(F210,0)</f>
        <v>0</v>
      </c>
      <c r="C210">
        <f>TRUNC((F210-B210)*60,0)</f>
        <v>0</v>
      </c>
      <c r="D210" s="4">
        <f>ROUND(((F210-B210)-C210/60)*3600,0)</f>
        <v>0</v>
      </c>
      <c r="E210" s="4">
        <f>E209-(B211+C211/60+D211/3600)</f>
        <v>0</v>
      </c>
      <c r="F210" s="4">
        <f>IF(E210&gt;0,E210,E210+360)</f>
        <v>0</v>
      </c>
    </row>
    <row r="211">
      <c r="B211">
        <v>180</v>
      </c>
      <c r="C211">
        <v>0</v>
      </c>
      <c r="D211" s="4">
        <v>0</v>
      </c>
    </row>
    <row r="212">
      <c r="K212" t="s">
        <v>167</v>
      </c>
      <c r="L212">
        <f>A209</f>
        <v>0</v>
      </c>
    </row>
    <row r="213">
      <c r="A213">
        <f>L204</f>
        <v>0</v>
      </c>
      <c r="B213">
        <f>TRUNC(F213,0)</f>
        <v>0</v>
      </c>
      <c r="C213">
        <f>TRUNC((F213-B213)*60,0)</f>
        <v>0</v>
      </c>
      <c r="D213" s="4">
        <f>ROUND(((F213-B213)-C213/60)*3600,0)</f>
        <v>0</v>
      </c>
      <c r="E213" s="4">
        <f>F213</f>
        <v>0</v>
      </c>
      <c r="F213" s="4">
        <f>I213+J213/60+K213/3600-(H213+G213)/3600</f>
        <v>0</v>
      </c>
      <c r="H213">
        <v>0</v>
      </c>
      <c r="I213" s="4">
        <f>IF(I209&lt;180,I209+180,I209-180)</f>
        <v>0</v>
      </c>
      <c r="J213" s="4">
        <f>J209</f>
        <v>0</v>
      </c>
      <c r="K213" s="4">
        <f>K209</f>
        <v>0</v>
      </c>
    </row>
    <row r="214">
      <c r="B214">
        <f>TRUNC(F214,0)</f>
        <v>0</v>
      </c>
      <c r="C214">
        <f>TRUNC((F214-B214)*60,0)</f>
        <v>0</v>
      </c>
      <c r="D214" s="4">
        <f>ROUND(((F214-B214)-C214/60)*3600,0)</f>
        <v>0</v>
      </c>
      <c r="E214" s="4">
        <f>E213-(B215+C215/60+D215/3600)</f>
        <v>0</v>
      </c>
      <c r="F214" s="4">
        <f>IF(E214&gt;0,E214,E214+360)</f>
        <v>0</v>
      </c>
    </row>
    <row r="215">
      <c r="B215">
        <v>180</v>
      </c>
      <c r="C215">
        <v>0</v>
      </c>
      <c r="D215" s="4">
        <v>0</v>
      </c>
    </row>
    <row r="217">
      <c r="A217">
        <f>TRVS!A37</f>
        <v>0</v>
      </c>
      <c r="B217">
        <f>TRUNC(F217,0)</f>
        <v>0</v>
      </c>
      <c r="C217">
        <f>TRUNC((F217-B217)*60,0)</f>
        <v>0</v>
      </c>
      <c r="D217" s="4">
        <f>ROUND(((F217-B217)-C217/60)*3600,0)</f>
        <v>0</v>
      </c>
      <c r="E217" s="4">
        <f>F217</f>
        <v>0</v>
      </c>
      <c r="F217" s="4">
        <f>I217+J217/60+K217/3600-(H217+G217)/3600</f>
        <v>0</v>
      </c>
      <c r="G217">
        <f>ROUND(((B215+C215/60+D215/3600)-(B219+C219/60+D219/3600))/2*3600,0)</f>
        <v>0</v>
      </c>
      <c r="H217">
        <f>H213</f>
        <v>0</v>
      </c>
      <c r="I217" s="4">
        <f>TRVS!B37</f>
        <v>0</v>
      </c>
      <c r="J217" s="4">
        <f>TRVS!C37</f>
        <v>0</v>
      </c>
      <c r="K217" s="4">
        <f>TRVS!D37</f>
        <v>0</v>
      </c>
      <c r="L217">
        <f>L212</f>
        <v>0</v>
      </c>
      <c r="M217" s="5">
        <f>TRVS!L37</f>
        <v>0</v>
      </c>
      <c r="N217">
        <f>A217</f>
        <v>0</v>
      </c>
      <c r="O217" s="3">
        <f>M217/$M$6</f>
        <v>0</v>
      </c>
    </row>
    <row r="218">
      <c r="B218">
        <f>TRUNC(F218,0)</f>
        <v>0</v>
      </c>
      <c r="C218">
        <f>TRUNC((F218-B218)*60,0)</f>
        <v>0</v>
      </c>
      <c r="D218" s="4">
        <f>ROUND(((F218-B218)-C218/60)*3600,0)</f>
        <v>0</v>
      </c>
      <c r="E218" s="4">
        <f>E217-(B219+C219/60+D219/3600)</f>
        <v>0</v>
      </c>
      <c r="F218" s="4">
        <f>IF(E218&gt;0,E218,E218+360)</f>
        <v>0</v>
      </c>
    </row>
    <row r="219">
      <c r="B219">
        <v>180</v>
      </c>
      <c r="C219">
        <v>0</v>
      </c>
      <c r="D219" s="4">
        <v>0</v>
      </c>
    </row>
    <row r="220">
      <c r="K220" t="s">
        <v>167</v>
      </c>
      <c r="L220">
        <f>A217</f>
        <v>0</v>
      </c>
    </row>
    <row r="221">
      <c r="A221">
        <f>L212</f>
        <v>0</v>
      </c>
      <c r="B221">
        <f>TRUNC(F221,0)</f>
        <v>0</v>
      </c>
      <c r="C221">
        <f>TRUNC((F221-B221)*60,0)</f>
        <v>0</v>
      </c>
      <c r="D221" s="4">
        <f>ROUND(((F221-B221)-C221/60)*3600,0)</f>
        <v>0</v>
      </c>
      <c r="E221" s="4">
        <f>F221</f>
        <v>0</v>
      </c>
      <c r="F221" s="4">
        <f>I221+J221/60+K221/3600-(H221+G221)/3600</f>
        <v>0</v>
      </c>
      <c r="H221">
        <v>0</v>
      </c>
      <c r="I221" s="4">
        <f>IF(I217&lt;180,I217+180,I217-180)</f>
        <v>0</v>
      </c>
      <c r="J221" s="4">
        <f>J217</f>
        <v>0</v>
      </c>
      <c r="K221" s="4">
        <f>K217</f>
        <v>0</v>
      </c>
    </row>
    <row r="222">
      <c r="B222">
        <f>TRUNC(F222,0)</f>
        <v>0</v>
      </c>
      <c r="C222">
        <f>TRUNC((F222-B222)*60,0)</f>
        <v>0</v>
      </c>
      <c r="D222" s="4">
        <f>ROUND(((F222-B222)-C222/60)*3600,0)</f>
        <v>0</v>
      </c>
      <c r="E222" s="4">
        <f>E221-(B223+C223/60+D223/3600)</f>
        <v>0</v>
      </c>
      <c r="F222" s="4">
        <f>IF(E222&gt;0,E222,E222+360)</f>
        <v>0</v>
      </c>
    </row>
    <row r="223">
      <c r="B223">
        <v>180</v>
      </c>
      <c r="C223">
        <v>0</v>
      </c>
      <c r="D223" s="4">
        <v>0</v>
      </c>
    </row>
    <row r="225">
      <c r="A225">
        <f>TRVS!A38</f>
        <v>0</v>
      </c>
      <c r="B225">
        <f>TRUNC(F225,0)</f>
        <v>0</v>
      </c>
      <c r="C225">
        <f>TRUNC((F225-B225)*60,0)</f>
        <v>0</v>
      </c>
      <c r="D225" s="4">
        <f>ROUND(((F225-B225)-C225/60)*3600,0)</f>
        <v>0</v>
      </c>
      <c r="E225" s="4">
        <f>F225</f>
        <v>0</v>
      </c>
      <c r="F225" s="4">
        <f>I225+J225/60+K225/3600-(H225+G225)/3600</f>
        <v>0</v>
      </c>
      <c r="G225">
        <f>ROUND(((B223+C223/60+D223/3600)-(B227+C227/60+D227/3600))/2*3600,0)</f>
        <v>0</v>
      </c>
      <c r="H225">
        <f>H221</f>
        <v>0</v>
      </c>
      <c r="I225" s="4">
        <f>TRVS!B38</f>
        <v>0</v>
      </c>
      <c r="J225" s="4">
        <f>TRVS!C38</f>
        <v>0</v>
      </c>
      <c r="K225" s="4">
        <f>TRVS!D38</f>
        <v>0</v>
      </c>
      <c r="L225">
        <f>L220</f>
        <v>0</v>
      </c>
      <c r="M225" s="5">
        <f>TRVS!L38</f>
        <v>0</v>
      </c>
      <c r="N225">
        <f>A225</f>
        <v>0</v>
      </c>
      <c r="O225" s="3">
        <f>M225/$M$6</f>
        <v>0</v>
      </c>
    </row>
    <row r="226">
      <c r="B226">
        <f>TRUNC(F226,0)</f>
        <v>0</v>
      </c>
      <c r="C226">
        <f>TRUNC((F226-B226)*60,0)</f>
        <v>0</v>
      </c>
      <c r="D226" s="4">
        <f>ROUND(((F226-B226)-C226/60)*3600,0)</f>
        <v>0</v>
      </c>
      <c r="E226" s="4">
        <f>E225-(B227+C227/60+D227/3600)</f>
        <v>0</v>
      </c>
      <c r="F226" s="4">
        <f>IF(E226&gt;0,E226,E226+360)</f>
        <v>0</v>
      </c>
    </row>
    <row r="227">
      <c r="B227">
        <v>180</v>
      </c>
      <c r="C227">
        <v>0</v>
      </c>
      <c r="D227" s="4">
        <v>0</v>
      </c>
    </row>
    <row r="228">
      <c r="K228" t="s">
        <v>167</v>
      </c>
      <c r="L228">
        <f>A225</f>
        <v>0</v>
      </c>
    </row>
    <row r="229">
      <c r="A229">
        <f>L220</f>
        <v>0</v>
      </c>
      <c r="B229">
        <f>TRUNC(F229,0)</f>
        <v>0</v>
      </c>
      <c r="C229">
        <f>TRUNC((F229-B229)*60,0)</f>
        <v>0</v>
      </c>
      <c r="D229" s="4">
        <f>ROUND(((F229-B229)-C229/60)*3600,0)</f>
        <v>0</v>
      </c>
      <c r="E229" s="4">
        <f>F229</f>
        <v>0</v>
      </c>
      <c r="F229" s="4">
        <f>I229+J229/60+K229/3600-(H229+G229)/3600</f>
        <v>0</v>
      </c>
      <c r="H229">
        <v>0</v>
      </c>
      <c r="I229" s="4">
        <f>IF(I225&lt;180,I225+180,I225-180)</f>
        <v>0</v>
      </c>
      <c r="J229" s="4">
        <f>J225</f>
        <v>0</v>
      </c>
      <c r="K229" s="4">
        <f>K225</f>
        <v>0</v>
      </c>
    </row>
    <row r="230">
      <c r="B230">
        <f>TRUNC(F230,0)</f>
        <v>0</v>
      </c>
      <c r="C230">
        <f>TRUNC((F230-B230)*60,0)</f>
        <v>0</v>
      </c>
      <c r="D230" s="4">
        <f>ROUND(((F230-B230)-C230/60)*3600,0)</f>
        <v>0</v>
      </c>
      <c r="E230" s="4">
        <f>E229-(B231+C231/60+D231/3600)</f>
        <v>0</v>
      </c>
      <c r="F230" s="4">
        <f>IF(E230&gt;0,E230,E230+360)</f>
        <v>0</v>
      </c>
    </row>
    <row r="231">
      <c r="B231">
        <v>180</v>
      </c>
      <c r="C231">
        <v>0</v>
      </c>
      <c r="D231" s="4">
        <v>0</v>
      </c>
    </row>
    <row r="233">
      <c r="A233">
        <f>TRVS!A39</f>
        <v>0</v>
      </c>
      <c r="B233">
        <f>TRUNC(F233,0)</f>
        <v>0</v>
      </c>
      <c r="C233">
        <f>TRUNC((F233-B233)*60,0)</f>
        <v>0</v>
      </c>
      <c r="D233" s="4">
        <f>ROUND(((F233-B233)-C233/60)*3600,0)</f>
        <v>0</v>
      </c>
      <c r="E233" s="4">
        <f>F233</f>
        <v>0</v>
      </c>
      <c r="F233" s="4">
        <f>I233+J233/60+K233/3600-(H233+G233)/3600</f>
        <v>0</v>
      </c>
      <c r="G233">
        <f>ROUND(((B231+C231/60+D231/3600)-(B235+C235/60+D235/3600))/2*3600,0)</f>
        <v>0</v>
      </c>
      <c r="H233">
        <f>H229</f>
        <v>0</v>
      </c>
      <c r="I233" s="4">
        <f>TRVS!B39</f>
        <v>0</v>
      </c>
      <c r="J233" s="4">
        <f>TRVS!C39</f>
        <v>0</v>
      </c>
      <c r="K233" s="4">
        <f>TRVS!D39</f>
        <v>0</v>
      </c>
      <c r="L233">
        <f>L228</f>
        <v>0</v>
      </c>
      <c r="M233" s="5">
        <f>TRVS!L39</f>
        <v>0</v>
      </c>
      <c r="N233">
        <f>A233</f>
        <v>0</v>
      </c>
      <c r="O233" s="3">
        <f>M233/$M$6</f>
        <v>0</v>
      </c>
    </row>
    <row r="234">
      <c r="B234">
        <f>TRUNC(F234,0)</f>
        <v>0</v>
      </c>
      <c r="C234">
        <f>TRUNC((F234-B234)*60,0)</f>
        <v>0</v>
      </c>
      <c r="D234" s="4">
        <f>ROUND(((F234-B234)-C234/60)*3600,0)</f>
        <v>0</v>
      </c>
      <c r="E234" s="4">
        <f>E233-(B235+C235/60+D235/3600)</f>
        <v>0</v>
      </c>
      <c r="F234" s="4">
        <f>IF(E234&gt;0,E234,E234+360)</f>
        <v>0</v>
      </c>
    </row>
    <row r="235">
      <c r="B235">
        <v>180</v>
      </c>
      <c r="C235">
        <v>0</v>
      </c>
      <c r="D235" s="4">
        <v>0</v>
      </c>
    </row>
    <row r="236">
      <c r="K236" t="s">
        <v>167</v>
      </c>
      <c r="L236">
        <f>A233</f>
        <v>0</v>
      </c>
    </row>
    <row r="237">
      <c r="A237">
        <f>L228</f>
        <v>0</v>
      </c>
      <c r="B237">
        <f>TRUNC(F237,0)</f>
        <v>0</v>
      </c>
      <c r="C237">
        <f>TRUNC((F237-B237)*60,0)</f>
        <v>0</v>
      </c>
      <c r="D237" s="4">
        <f>ROUND(((F237-B237)-C237/60)*3600,0)</f>
        <v>0</v>
      </c>
      <c r="E237" s="4">
        <f>F237</f>
        <v>0</v>
      </c>
      <c r="F237" s="4">
        <f>I237+J237/60+K237/3600-(H237+G237)/3600</f>
        <v>0</v>
      </c>
      <c r="H237">
        <v>0</v>
      </c>
      <c r="I237" s="4">
        <f>IF(I233&lt;180,I233+180,I233-180)</f>
        <v>0</v>
      </c>
      <c r="J237" s="4">
        <f>J233</f>
        <v>0</v>
      </c>
      <c r="K237" s="4">
        <f>K233</f>
        <v>0</v>
      </c>
    </row>
    <row r="238">
      <c r="B238">
        <f>TRUNC(F238,0)</f>
        <v>0</v>
      </c>
      <c r="C238">
        <f>TRUNC((F238-B238)*60,0)</f>
        <v>0</v>
      </c>
      <c r="D238" s="4">
        <f>ROUND(((F238-B238)-C238/60)*3600,0)</f>
        <v>0</v>
      </c>
      <c r="E238" s="4">
        <f>E237-(B239+C239/60+D239/3600)</f>
        <v>0</v>
      </c>
      <c r="F238" s="4">
        <f>IF(E238&gt;0,E238,E238+360)</f>
        <v>0</v>
      </c>
    </row>
    <row r="239">
      <c r="B239">
        <v>180</v>
      </c>
      <c r="C239">
        <v>0</v>
      </c>
      <c r="D239" s="4">
        <v>0</v>
      </c>
    </row>
    <row r="241">
      <c r="A241">
        <f>TRVS!A40</f>
        <v>0</v>
      </c>
      <c r="B241">
        <f>TRUNC(F241,0)</f>
        <v>0</v>
      </c>
      <c r="C241">
        <f>TRUNC((F241-B241)*60,0)</f>
        <v>0</v>
      </c>
      <c r="D241" s="4">
        <f>ROUND(((F241-B241)-C241/60)*3600,0)</f>
        <v>0</v>
      </c>
      <c r="E241" s="4">
        <f>F241</f>
        <v>0</v>
      </c>
      <c r="F241" s="4">
        <f>I241+J241/60+K241/3600-(H241+G241)/3600</f>
        <v>0</v>
      </c>
      <c r="G241">
        <f>ROUND(((B239+C239/60+D239/3600)-(B243+C243/60+D243/3600))/2*3600,0)</f>
        <v>0</v>
      </c>
      <c r="H241">
        <f>H237</f>
        <v>0</v>
      </c>
      <c r="I241" s="4">
        <f>TRVS!B40</f>
        <v>0</v>
      </c>
      <c r="J241" s="4">
        <f>TRVS!C40</f>
        <v>0</v>
      </c>
      <c r="K241" s="4">
        <f>TRVS!D40</f>
        <v>0</v>
      </c>
      <c r="L241">
        <f>L236</f>
        <v>0</v>
      </c>
      <c r="M241" s="5">
        <f>TRVS!L40</f>
        <v>0</v>
      </c>
      <c r="N241">
        <f>A241</f>
        <v>0</v>
      </c>
      <c r="O241" s="3">
        <f>M241/$M$6</f>
        <v>0</v>
      </c>
    </row>
    <row r="242">
      <c r="B242">
        <f>TRUNC(F242,0)</f>
        <v>0</v>
      </c>
      <c r="C242">
        <f>TRUNC((F242-B242)*60,0)</f>
        <v>0</v>
      </c>
      <c r="D242" s="4">
        <f>ROUND(((F242-B242)-C242/60)*3600,0)</f>
        <v>0</v>
      </c>
      <c r="E242" s="4">
        <f>E241-(B243+C243/60+D243/3600)</f>
        <v>0</v>
      </c>
      <c r="F242" s="4">
        <f>IF(E242&gt;0,E242,E242+360)</f>
        <v>0</v>
      </c>
    </row>
    <row r="243">
      <c r="B243">
        <v>180</v>
      </c>
      <c r="C243">
        <v>0</v>
      </c>
      <c r="D243" s="4">
        <v>0</v>
      </c>
    </row>
    <row r="244">
      <c r="K244" t="s">
        <v>167</v>
      </c>
      <c r="L244">
        <f>A241</f>
        <v>0</v>
      </c>
    </row>
    <row r="245">
      <c r="A245">
        <f>L236</f>
        <v>0</v>
      </c>
      <c r="B245">
        <f>TRUNC(F245,0)</f>
        <v>0</v>
      </c>
      <c r="C245">
        <f>TRUNC((F245-B245)*60,0)</f>
        <v>0</v>
      </c>
      <c r="D245" s="4">
        <f>ROUND(((F245-B245)-C245/60)*3600,0)</f>
        <v>0</v>
      </c>
      <c r="E245" s="4">
        <f>F245</f>
        <v>0</v>
      </c>
      <c r="F245" s="4">
        <f>I245+J245/60+K245/3600-(H245+G245)/3600</f>
        <v>0</v>
      </c>
      <c r="H245">
        <v>0</v>
      </c>
      <c r="I245" s="4">
        <f>IF(I241&lt;180,I241+180,I241-180)</f>
        <v>0</v>
      </c>
      <c r="J245" s="4">
        <f>J241</f>
        <v>0</v>
      </c>
      <c r="K245" s="4">
        <f>K241</f>
        <v>0</v>
      </c>
    </row>
    <row r="246">
      <c r="B246">
        <f>TRUNC(F246,0)</f>
        <v>0</v>
      </c>
      <c r="C246">
        <f>TRUNC((F246-B246)*60,0)</f>
        <v>0</v>
      </c>
      <c r="D246" s="4">
        <f>ROUND(((F246-B246)-C246/60)*3600,0)</f>
        <v>0</v>
      </c>
      <c r="E246" s="4">
        <f>E245-(B247+C247/60+D247/3600)</f>
        <v>0</v>
      </c>
      <c r="F246" s="4">
        <f>IF(E246&gt;0,E246,E246+360)</f>
        <v>0</v>
      </c>
    </row>
    <row r="247">
      <c r="B247">
        <v>180</v>
      </c>
      <c r="C247">
        <v>0</v>
      </c>
      <c r="D247" s="4">
        <v>0</v>
      </c>
    </row>
    <row r="249">
      <c r="A249">
        <f>TRVS!A41</f>
        <v>0</v>
      </c>
      <c r="B249">
        <f>TRUNC(F249,0)</f>
        <v>0</v>
      </c>
      <c r="C249">
        <f>TRUNC((F249-B249)*60,0)</f>
        <v>0</v>
      </c>
      <c r="D249" s="4">
        <f>ROUND(((F249-B249)-C249/60)*3600,0)</f>
        <v>0</v>
      </c>
      <c r="E249" s="4">
        <f>F249</f>
        <v>0</v>
      </c>
      <c r="F249" s="4">
        <f>I249+J249/60+K249/3600-(H249+G249)/3600</f>
        <v>0</v>
      </c>
      <c r="G249">
        <f>ROUND(((B247+C247/60+D247/3600)-(B251+C251/60+D251/3600))/2*3600,0)</f>
        <v>0</v>
      </c>
      <c r="H249">
        <f>H245</f>
        <v>0</v>
      </c>
      <c r="I249" s="4">
        <f>TRVS!B41</f>
        <v>0</v>
      </c>
      <c r="J249" s="4">
        <f>TRVS!C41</f>
        <v>0</v>
      </c>
      <c r="K249" s="4">
        <f>TRVS!D41</f>
        <v>0</v>
      </c>
      <c r="L249">
        <f>L244</f>
        <v>0</v>
      </c>
      <c r="M249" s="5">
        <f>TRVS!L41</f>
        <v>0</v>
      </c>
      <c r="N249">
        <f>A249</f>
        <v>0</v>
      </c>
      <c r="O249" s="3">
        <f>M249/$M$6</f>
        <v>0</v>
      </c>
    </row>
    <row r="250">
      <c r="B250">
        <f>TRUNC(F250,0)</f>
        <v>0</v>
      </c>
      <c r="C250">
        <f>TRUNC((F250-B250)*60,0)</f>
        <v>0</v>
      </c>
      <c r="D250" s="4">
        <f>ROUND(((F250-B250)-C250/60)*3600,0)</f>
        <v>0</v>
      </c>
      <c r="E250" s="4">
        <f>E249-(B251+C251/60+D251/3600)</f>
        <v>0</v>
      </c>
      <c r="F250" s="4">
        <f>IF(E250&gt;0,E250,E250+360)</f>
        <v>0</v>
      </c>
    </row>
    <row r="251">
      <c r="B251">
        <v>180</v>
      </c>
      <c r="C251">
        <v>0</v>
      </c>
      <c r="D251" s="4">
        <v>0</v>
      </c>
    </row>
    <row r="252">
      <c r="K252" t="s">
        <v>167</v>
      </c>
      <c r="L252">
        <f>A249</f>
        <v>0</v>
      </c>
    </row>
    <row r="253">
      <c r="A253">
        <f>L244</f>
        <v>0</v>
      </c>
      <c r="B253">
        <f>TRUNC(F253,0)</f>
        <v>0</v>
      </c>
      <c r="C253">
        <f>TRUNC((F253-B253)*60,0)</f>
        <v>0</v>
      </c>
      <c r="D253" s="4">
        <f>ROUND(((F253-B253)-C253/60)*3600,0)</f>
        <v>0</v>
      </c>
      <c r="E253" s="4">
        <f>F253</f>
        <v>0</v>
      </c>
      <c r="F253" s="4">
        <f>I253+J253/60+K253/3600-(H253+G253)/3600</f>
        <v>0</v>
      </c>
      <c r="H253">
        <v>0</v>
      </c>
      <c r="I253" s="4">
        <f>IF(I249&lt;180,I249+180,I249-180)</f>
        <v>0</v>
      </c>
      <c r="J253" s="4">
        <f>J249</f>
        <v>0</v>
      </c>
      <c r="K253" s="4">
        <f>K249</f>
        <v>0</v>
      </c>
    </row>
    <row r="254">
      <c r="B254">
        <f>TRUNC(F254,0)</f>
        <v>0</v>
      </c>
      <c r="C254">
        <f>TRUNC((F254-B254)*60,0)</f>
        <v>0</v>
      </c>
      <c r="D254" s="4">
        <f>ROUND(((F254-B254)-C254/60)*3600,0)</f>
        <v>0</v>
      </c>
      <c r="E254" s="4">
        <f>E253-(B255+C255/60+D255/3600)</f>
        <v>0</v>
      </c>
      <c r="F254" s="4">
        <f>IF(E254&gt;0,E254,E254+360)</f>
        <v>0</v>
      </c>
    </row>
    <row r="255">
      <c r="B255">
        <v>180</v>
      </c>
      <c r="C255">
        <v>0</v>
      </c>
      <c r="D255" s="4">
        <v>0</v>
      </c>
    </row>
    <row r="257">
      <c r="A257">
        <f>TRVS!A42</f>
        <v>0</v>
      </c>
      <c r="B257">
        <f>TRUNC(F257,0)</f>
        <v>0</v>
      </c>
      <c r="C257">
        <f>TRUNC((F257-B257)*60,0)</f>
        <v>0</v>
      </c>
      <c r="D257" s="4">
        <f>ROUND(((F257-B257)-C257/60)*3600,0)</f>
        <v>0</v>
      </c>
      <c r="E257" s="4">
        <f>F257</f>
        <v>0</v>
      </c>
      <c r="F257" s="4">
        <f>I257+J257/60+K257/3600-(H257+G257)/3600</f>
        <v>0</v>
      </c>
      <c r="G257">
        <f>ROUND(((B255+C255/60+D255/3600)-(B259+C259/60+D259/3600))/2*3600,0)</f>
        <v>0</v>
      </c>
      <c r="H257">
        <f>H253</f>
        <v>0</v>
      </c>
      <c r="I257" s="4">
        <f>TRVS!B42</f>
        <v>0</v>
      </c>
      <c r="J257" s="4">
        <f>TRVS!C42</f>
        <v>0</v>
      </c>
      <c r="K257" s="4">
        <f>TRVS!D42</f>
        <v>0</v>
      </c>
      <c r="L257">
        <f>L252</f>
        <v>0</v>
      </c>
      <c r="M257" s="5">
        <f>TRVS!L42</f>
        <v>0</v>
      </c>
      <c r="N257">
        <f>A257</f>
        <v>0</v>
      </c>
      <c r="O257" s="3">
        <f>M257/$M$6</f>
        <v>0</v>
      </c>
    </row>
    <row r="258">
      <c r="B258">
        <f>TRUNC(F258,0)</f>
        <v>0</v>
      </c>
      <c r="C258">
        <f>TRUNC((F258-B258)*60,0)</f>
        <v>0</v>
      </c>
      <c r="D258" s="4">
        <f>ROUND(((F258-B258)-C258/60)*3600,0)</f>
        <v>0</v>
      </c>
      <c r="E258" s="4">
        <f>E257-(B259+C259/60+D259/3600)</f>
        <v>0</v>
      </c>
      <c r="F258" s="4">
        <f>IF(E258&gt;0,E258,E258+360)</f>
        <v>0</v>
      </c>
    </row>
    <row r="259">
      <c r="B259">
        <v>180</v>
      </c>
      <c r="C259">
        <v>0</v>
      </c>
      <c r="D259" s="4">
        <v>0</v>
      </c>
    </row>
    <row r="260">
      <c r="K260" t="s">
        <v>167</v>
      </c>
      <c r="L260">
        <f>A257</f>
        <v>0</v>
      </c>
    </row>
    <row r="261">
      <c r="A261">
        <f>L252</f>
        <v>0</v>
      </c>
      <c r="B261">
        <f>TRUNC(F261,0)</f>
        <v>0</v>
      </c>
      <c r="C261">
        <f>TRUNC((F261-B261)*60,0)</f>
        <v>0</v>
      </c>
      <c r="D261" s="4">
        <f>ROUND(((F261-B261)-C261/60)*3600,0)</f>
        <v>0</v>
      </c>
      <c r="E261" s="4">
        <f>F261</f>
        <v>0</v>
      </c>
      <c r="F261" s="4">
        <f>I261+J261/60+K261/3600-(H261+G261)/3600</f>
        <v>0</v>
      </c>
      <c r="H261">
        <v>0</v>
      </c>
      <c r="I261" s="4">
        <f>IF(I257&lt;180,I257+180,I257-180)</f>
        <v>0</v>
      </c>
      <c r="J261" s="4">
        <f>J257</f>
        <v>0</v>
      </c>
      <c r="K261" s="4">
        <f>K257</f>
        <v>0</v>
      </c>
    </row>
    <row r="262">
      <c r="B262">
        <f>TRUNC(F262,0)</f>
        <v>0</v>
      </c>
      <c r="C262">
        <f>TRUNC((F262-B262)*60,0)</f>
        <v>0</v>
      </c>
      <c r="D262" s="4">
        <f>ROUND(((F262-B262)-C262/60)*3600,0)</f>
        <v>0</v>
      </c>
      <c r="E262" s="4">
        <f>E261-(B263+C263/60+D263/3600)</f>
        <v>0</v>
      </c>
      <c r="F262" s="4">
        <f>IF(E262&gt;0,E262,E262+360)</f>
        <v>0</v>
      </c>
    </row>
    <row r="263">
      <c r="B263">
        <v>180</v>
      </c>
      <c r="C263">
        <v>0</v>
      </c>
      <c r="D263" s="4">
        <v>0</v>
      </c>
    </row>
    <row r="265">
      <c r="A265">
        <f>TRVS!A43</f>
        <v>0</v>
      </c>
      <c r="B265">
        <f>TRUNC(F265,0)</f>
        <v>0</v>
      </c>
      <c r="C265">
        <f>TRUNC((F265-B265)*60,0)</f>
        <v>0</v>
      </c>
      <c r="D265" s="4">
        <f>ROUND(((F265-B265)-C265/60)*3600,0)</f>
        <v>0</v>
      </c>
      <c r="E265" s="4">
        <f>F265</f>
        <v>0</v>
      </c>
      <c r="F265" s="4">
        <f>I265+J265/60+K265/3600-(H265+G265)/3600</f>
        <v>0</v>
      </c>
      <c r="G265">
        <f>ROUND(((B263+C263/60+D263/3600)-(B267+C267/60+D267/3600))/2*3600,0)</f>
        <v>0</v>
      </c>
      <c r="H265">
        <f>H261</f>
        <v>0</v>
      </c>
      <c r="I265" s="4">
        <f>TRVS!B43</f>
        <v>0</v>
      </c>
      <c r="J265" s="4">
        <f>TRVS!C43</f>
        <v>0</v>
      </c>
      <c r="K265" s="4">
        <f>TRVS!D43</f>
        <v>0</v>
      </c>
      <c r="L265">
        <f>L260</f>
        <v>0</v>
      </c>
      <c r="M265" s="5">
        <f>TRVS!L43</f>
        <v>0</v>
      </c>
      <c r="N265">
        <f>A265</f>
        <v>0</v>
      </c>
      <c r="O265" s="3">
        <f>M265/$M$6</f>
        <v>0</v>
      </c>
    </row>
    <row r="266">
      <c r="B266">
        <f>TRUNC(F266,0)</f>
        <v>0</v>
      </c>
      <c r="C266">
        <f>TRUNC((F266-B266)*60,0)</f>
        <v>0</v>
      </c>
      <c r="D266" s="4">
        <f>ROUND(((F266-B266)-C266/60)*3600,0)</f>
        <v>0</v>
      </c>
      <c r="E266" s="4">
        <f>E265-(B267+C267/60+D267/3600)</f>
        <v>0</v>
      </c>
      <c r="F266" s="4">
        <f>IF(E266&gt;0,E266,E266+360)</f>
        <v>0</v>
      </c>
    </row>
    <row r="267">
      <c r="B267">
        <v>180</v>
      </c>
      <c r="C267">
        <v>0</v>
      </c>
      <c r="D267" s="4">
        <v>0</v>
      </c>
    </row>
    <row r="268">
      <c r="K268" t="s">
        <v>167</v>
      </c>
      <c r="L268">
        <f>A265</f>
        <v>0</v>
      </c>
    </row>
    <row r="269">
      <c r="A269">
        <f>L260</f>
        <v>0</v>
      </c>
      <c r="B269">
        <f>TRUNC(F269,0)</f>
        <v>0</v>
      </c>
      <c r="C269">
        <f>TRUNC((F269-B269)*60,0)</f>
        <v>0</v>
      </c>
      <c r="D269" s="4">
        <f>ROUND(((F269-B269)-C269/60)*3600,0)</f>
        <v>0</v>
      </c>
      <c r="E269" s="4">
        <f>F269</f>
        <v>0</v>
      </c>
      <c r="F269" s="4">
        <f>I269+J269/60+K269/3600-(H269+G269)/3600</f>
        <v>0</v>
      </c>
      <c r="H269">
        <v>0</v>
      </c>
      <c r="I269" s="4">
        <f>IF(I265&lt;180,I265+180,I265-180)</f>
        <v>0</v>
      </c>
      <c r="J269" s="4">
        <f>J265</f>
        <v>0</v>
      </c>
      <c r="K269" s="4">
        <f>K265</f>
        <v>0</v>
      </c>
    </row>
    <row r="270">
      <c r="B270">
        <f>TRUNC(F270,0)</f>
        <v>0</v>
      </c>
      <c r="C270">
        <f>TRUNC((F270-B270)*60,0)</f>
        <v>0</v>
      </c>
      <c r="D270" s="4">
        <f>ROUND(((F270-B270)-C270/60)*3600,0)</f>
        <v>0</v>
      </c>
      <c r="E270" s="4">
        <f>E269-(B271+C271/60+D271/3600)</f>
        <v>0</v>
      </c>
      <c r="F270" s="4">
        <f>IF(E270&gt;0,E270,E270+360)</f>
        <v>0</v>
      </c>
    </row>
    <row r="271">
      <c r="B271">
        <v>180</v>
      </c>
      <c r="C271">
        <v>0</v>
      </c>
      <c r="D271" s="4">
        <v>0</v>
      </c>
    </row>
    <row r="273">
      <c r="A273">
        <f>TRVS!A44</f>
        <v>0</v>
      </c>
      <c r="B273">
        <f>TRUNC(F273,0)</f>
        <v>0</v>
      </c>
      <c r="C273">
        <f>TRUNC((F273-B273)*60,0)</f>
        <v>0</v>
      </c>
      <c r="D273" s="4">
        <f>ROUND(((F273-B273)-C273/60)*3600,0)</f>
        <v>0</v>
      </c>
      <c r="E273" s="4">
        <f>F273</f>
        <v>0</v>
      </c>
      <c r="F273" s="4">
        <f>I273+J273/60+K273/3600-(H273+G273)/3600</f>
        <v>0</v>
      </c>
      <c r="G273">
        <f>ROUND(((B271+C271/60+D271/3600)-(B275+C275/60+D275/3600))/2*3600,0)</f>
        <v>0</v>
      </c>
      <c r="H273">
        <f>H269</f>
        <v>0</v>
      </c>
      <c r="I273" s="4">
        <f>TRVS!B44</f>
        <v>0</v>
      </c>
      <c r="J273" s="4">
        <f>TRVS!C44</f>
        <v>0</v>
      </c>
      <c r="K273" s="4">
        <f>TRVS!D44</f>
        <v>0</v>
      </c>
      <c r="L273">
        <f>L268</f>
        <v>0</v>
      </c>
      <c r="M273" s="5">
        <f>TRVS!L44</f>
        <v>0</v>
      </c>
      <c r="N273">
        <f>A273</f>
        <v>0</v>
      </c>
      <c r="O273" s="3">
        <f>M273/$M$6</f>
        <v>0</v>
      </c>
    </row>
    <row r="274">
      <c r="B274">
        <f>TRUNC(F274,0)</f>
        <v>0</v>
      </c>
      <c r="C274">
        <f>TRUNC((F274-B274)*60,0)</f>
        <v>0</v>
      </c>
      <c r="D274" s="4">
        <f>ROUND(((F274-B274)-C274/60)*3600,0)</f>
        <v>0</v>
      </c>
      <c r="E274" s="4">
        <f>E273-(B275+C275/60+D275/3600)</f>
        <v>0</v>
      </c>
      <c r="F274" s="4">
        <f>IF(E274&gt;0,E274,E274+360)</f>
        <v>0</v>
      </c>
    </row>
    <row r="275">
      <c r="B275">
        <v>180</v>
      </c>
      <c r="C275">
        <v>0</v>
      </c>
      <c r="D275" s="4">
        <v>0</v>
      </c>
    </row>
    <row r="276">
      <c r="K276" t="s">
        <v>167</v>
      </c>
      <c r="L276">
        <f>A273</f>
        <v>0</v>
      </c>
    </row>
    <row r="277">
      <c r="A277">
        <f>L268</f>
        <v>0</v>
      </c>
      <c r="B277">
        <f>TRUNC(F277,0)</f>
        <v>0</v>
      </c>
      <c r="C277">
        <f>TRUNC((F277-B277)*60,0)</f>
        <v>0</v>
      </c>
      <c r="D277" s="4">
        <f>ROUND(((F277-B277)-C277/60)*3600,0)</f>
        <v>0</v>
      </c>
      <c r="E277" s="4">
        <f>F277</f>
        <v>0</v>
      </c>
      <c r="F277" s="4">
        <f>I277+J277/60+K277/3600-(H277+G277)/3600</f>
        <v>0</v>
      </c>
      <c r="H277">
        <v>0</v>
      </c>
      <c r="I277" s="4">
        <f>IF(I273&lt;180,I273+180,I273-180)</f>
        <v>0</v>
      </c>
      <c r="J277" s="4">
        <f>J273</f>
        <v>0</v>
      </c>
      <c r="K277" s="4">
        <f>K273</f>
        <v>0</v>
      </c>
    </row>
    <row r="278">
      <c r="B278">
        <f>TRUNC(F278,0)</f>
        <v>0</v>
      </c>
      <c r="C278">
        <f>TRUNC((F278-B278)*60,0)</f>
        <v>0</v>
      </c>
      <c r="D278" s="4">
        <f>ROUND(((F278-B278)-C278/60)*3600,0)</f>
        <v>0</v>
      </c>
      <c r="E278" s="4">
        <f>E277-(B279+C279/60+D279/3600)</f>
        <v>0</v>
      </c>
      <c r="F278" s="4">
        <f>IF(E278&gt;0,E278,E278+360)</f>
        <v>0</v>
      </c>
    </row>
    <row r="279">
      <c r="B279">
        <v>180</v>
      </c>
      <c r="C279">
        <v>0</v>
      </c>
      <c r="D279" s="4">
        <v>0</v>
      </c>
    </row>
    <row r="281">
      <c r="A281">
        <f>TRVS!A45</f>
        <v>0</v>
      </c>
      <c r="B281">
        <f>TRUNC(F281,0)</f>
        <v>0</v>
      </c>
      <c r="C281">
        <f>TRUNC((F281-B281)*60,0)</f>
        <v>0</v>
      </c>
      <c r="D281" s="4">
        <f>ROUND(((F281-B281)-C281/60)*3600,0)</f>
        <v>0</v>
      </c>
      <c r="E281" s="4">
        <f>F281</f>
        <v>0</v>
      </c>
      <c r="F281" s="4">
        <f>I281+J281/60+K281/3600-(H281+G281)/3600</f>
        <v>0</v>
      </c>
      <c r="G281">
        <f>ROUND(((B279+C279/60+D279/3600)-(B283+C283/60+D283/3600))/2*3600,0)</f>
        <v>0</v>
      </c>
      <c r="H281">
        <f>H277</f>
        <v>0</v>
      </c>
      <c r="I281" s="4">
        <f>TRVS!B45</f>
        <v>0</v>
      </c>
      <c r="J281" s="4">
        <f>TRVS!C45</f>
        <v>0</v>
      </c>
      <c r="K281" s="4">
        <f>TRVS!D45</f>
        <v>0</v>
      </c>
      <c r="L281">
        <f>L276</f>
        <v>0</v>
      </c>
      <c r="M281" s="5">
        <f>TRVS!L45</f>
        <v>0</v>
      </c>
      <c r="N281">
        <f>A281</f>
        <v>0</v>
      </c>
      <c r="O281" s="3">
        <f>M281/$M$6</f>
        <v>0</v>
      </c>
    </row>
    <row r="282">
      <c r="B282">
        <f>TRUNC(F282,0)</f>
        <v>0</v>
      </c>
      <c r="C282">
        <f>TRUNC((F282-B282)*60,0)</f>
        <v>0</v>
      </c>
      <c r="D282" s="4">
        <f>ROUND(((F282-B282)-C282/60)*3600,0)</f>
        <v>0</v>
      </c>
      <c r="E282" s="4">
        <f>E281-(B283+C283/60+D283/3600)</f>
        <v>0</v>
      </c>
      <c r="F282" s="4">
        <f>IF(E282&gt;0,E282,E282+360)</f>
        <v>0</v>
      </c>
    </row>
    <row r="283">
      <c r="B283">
        <v>180</v>
      </c>
      <c r="C283">
        <v>0</v>
      </c>
      <c r="D283" s="4">
        <v>0</v>
      </c>
    </row>
    <row r="284">
      <c r="K284" t="s">
        <v>167</v>
      </c>
      <c r="L284">
        <f>A281</f>
        <v>0</v>
      </c>
    </row>
    <row r="285">
      <c r="A285">
        <f>L276</f>
        <v>0</v>
      </c>
      <c r="B285">
        <f>TRUNC(F285,0)</f>
        <v>0</v>
      </c>
      <c r="C285">
        <f>TRUNC((F285-B285)*60,0)</f>
        <v>0</v>
      </c>
      <c r="D285" s="4">
        <f>ROUND(((F285-B285)-C285/60)*3600,0)</f>
        <v>0</v>
      </c>
      <c r="E285" s="4">
        <f>F285</f>
        <v>0</v>
      </c>
      <c r="F285" s="4">
        <f>I285+J285/60+K285/3600-(H285+G285)/3600</f>
        <v>0</v>
      </c>
      <c r="H285">
        <v>0</v>
      </c>
      <c r="I285" s="4">
        <f>IF(I281&lt;180,I281+180,I281-180)</f>
        <v>0</v>
      </c>
      <c r="J285" s="4">
        <f>J281</f>
        <v>0</v>
      </c>
      <c r="K285" s="4">
        <f>K281</f>
        <v>0</v>
      </c>
    </row>
    <row r="286">
      <c r="B286">
        <f>TRUNC(F286,0)</f>
        <v>0</v>
      </c>
      <c r="C286">
        <f>TRUNC((F286-B286)*60,0)</f>
        <v>0</v>
      </c>
      <c r="D286" s="4">
        <f>ROUND(((F286-B286)-C286/60)*3600,0)</f>
        <v>0</v>
      </c>
      <c r="E286" s="4">
        <f>E285-(B287+C287/60+D287/3600)</f>
        <v>0</v>
      </c>
      <c r="F286" s="4">
        <f>IF(E286&gt;0,E286,E286+360)</f>
        <v>0</v>
      </c>
    </row>
    <row r="287">
      <c r="B287">
        <v>180</v>
      </c>
      <c r="C287">
        <v>0</v>
      </c>
      <c r="D287" s="4">
        <v>0</v>
      </c>
    </row>
    <row r="289">
      <c r="A289">
        <f>TRVS!A46</f>
        <v>0</v>
      </c>
      <c r="B289">
        <f>TRUNC(F289,0)</f>
        <v>0</v>
      </c>
      <c r="C289">
        <f>TRUNC((F289-B289)*60,0)</f>
        <v>0</v>
      </c>
      <c r="D289" s="4">
        <f>ROUND(((F289-B289)-C289/60)*3600,0)</f>
        <v>0</v>
      </c>
      <c r="E289" s="4">
        <f>F289</f>
        <v>0</v>
      </c>
      <c r="F289" s="4">
        <f>I289+J289/60+K289/3600-(H289+G289)/3600</f>
        <v>0</v>
      </c>
      <c r="G289">
        <f>ROUND(((B287+C287/60+D287/3600)-(B291+C291/60+D291/3600))/2*3600,0)</f>
        <v>0</v>
      </c>
      <c r="H289">
        <f>H285</f>
        <v>0</v>
      </c>
      <c r="I289" s="4">
        <f>TRVS!B46</f>
        <v>0</v>
      </c>
      <c r="J289" s="4">
        <f>TRVS!C46</f>
        <v>0</v>
      </c>
      <c r="K289" s="4">
        <f>TRVS!D46</f>
        <v>0</v>
      </c>
      <c r="L289">
        <f>L284</f>
        <v>0</v>
      </c>
      <c r="M289" s="5">
        <f>TRVS!L46</f>
        <v>0</v>
      </c>
      <c r="N289">
        <f>A289</f>
        <v>0</v>
      </c>
      <c r="O289" s="3">
        <f>M289/$M$6</f>
        <v>0</v>
      </c>
    </row>
    <row r="290">
      <c r="B290">
        <f>TRUNC(F290,0)</f>
        <v>0</v>
      </c>
      <c r="C290">
        <f>TRUNC((F290-B290)*60,0)</f>
        <v>0</v>
      </c>
      <c r="D290" s="4">
        <f>ROUND(((F290-B290)-C290/60)*3600,0)</f>
        <v>0</v>
      </c>
      <c r="E290" s="4">
        <f>E289-(B291+C291/60+D291/3600)</f>
        <v>0</v>
      </c>
      <c r="F290" s="4">
        <f>IF(E290&gt;0,E290,E290+360)</f>
        <v>0</v>
      </c>
    </row>
    <row r="291">
      <c r="B291">
        <v>180</v>
      </c>
      <c r="C291">
        <v>0</v>
      </c>
      <c r="D291" s="4">
        <v>0</v>
      </c>
    </row>
    <row r="292">
      <c r="K292" t="s">
        <v>167</v>
      </c>
      <c r="L292">
        <f>A289</f>
        <v>0</v>
      </c>
    </row>
    <row r="293">
      <c r="A293">
        <f>L284</f>
        <v>0</v>
      </c>
      <c r="B293">
        <f>TRUNC(F293,0)</f>
        <v>0</v>
      </c>
      <c r="C293">
        <f>TRUNC((F293-B293)*60,0)</f>
        <v>0</v>
      </c>
      <c r="D293" s="4">
        <f>ROUND(((F293-B293)-C293/60)*3600,0)</f>
        <v>0</v>
      </c>
      <c r="E293" s="4">
        <f>F293</f>
        <v>0</v>
      </c>
      <c r="F293" s="4">
        <f>I293+J293/60+K293/3600-(H293+G293)/3600</f>
        <v>0</v>
      </c>
      <c r="H293">
        <v>0</v>
      </c>
      <c r="I293" s="4">
        <f>IF(I289&lt;180,I289+180,I289-180)</f>
        <v>0</v>
      </c>
      <c r="J293" s="4">
        <f>J289</f>
        <v>0</v>
      </c>
      <c r="K293" s="4">
        <f>K289</f>
        <v>0</v>
      </c>
    </row>
    <row r="294">
      <c r="B294">
        <f>TRUNC(F294,0)</f>
        <v>0</v>
      </c>
      <c r="C294">
        <f>TRUNC((F294-B294)*60,0)</f>
        <v>0</v>
      </c>
      <c r="D294" s="4">
        <f>ROUND(((F294-B294)-C294/60)*3600,0)</f>
        <v>0</v>
      </c>
      <c r="E294" s="4">
        <f>E293-(B295+C295/60+D295/3600)</f>
        <v>0</v>
      </c>
      <c r="F294" s="4">
        <f>IF(E294&gt;0,E294,E294+360)</f>
        <v>0</v>
      </c>
    </row>
    <row r="295">
      <c r="B295">
        <v>180</v>
      </c>
      <c r="C295">
        <v>0</v>
      </c>
      <c r="D295" s="4">
        <v>0</v>
      </c>
    </row>
    <row r="297">
      <c r="A297">
        <f>TRVS!A47</f>
        <v>0</v>
      </c>
      <c r="B297">
        <f>TRUNC(F297,0)</f>
        <v>0</v>
      </c>
      <c r="C297">
        <f>TRUNC((F297-B297)*60,0)</f>
        <v>0</v>
      </c>
      <c r="D297" s="4">
        <f>ROUND(((F297-B297)-C297/60)*3600,0)</f>
        <v>0</v>
      </c>
      <c r="E297" s="4">
        <f>F297</f>
        <v>0</v>
      </c>
      <c r="F297" s="4">
        <f>I297+J297/60+K297/3600-(H297+G297)/3600</f>
        <v>0</v>
      </c>
      <c r="G297">
        <f>ROUND(((B295+C295/60+D295/3600)-(B299+C299/60+D299/3600))/2*3600,0)</f>
        <v>0</v>
      </c>
      <c r="H297">
        <f>H293</f>
        <v>0</v>
      </c>
      <c r="I297" s="4">
        <f>TRVS!B47</f>
        <v>0</v>
      </c>
      <c r="J297" s="4">
        <f>TRVS!C47</f>
        <v>0</v>
      </c>
      <c r="K297" s="4">
        <f>TRVS!D47</f>
        <v>0</v>
      </c>
      <c r="L297">
        <f>L292</f>
        <v>0</v>
      </c>
      <c r="M297" s="5">
        <f>TRVS!L47</f>
        <v>0</v>
      </c>
      <c r="N297">
        <f>A297</f>
        <v>0</v>
      </c>
      <c r="O297" s="3">
        <f>M297/$M$6</f>
        <v>0</v>
      </c>
    </row>
    <row r="298">
      <c r="B298">
        <f>TRUNC(F298,0)</f>
        <v>0</v>
      </c>
      <c r="C298">
        <f>TRUNC((F298-B298)*60,0)</f>
        <v>0</v>
      </c>
      <c r="D298" s="4">
        <f>ROUND(((F298-B298)-C298/60)*3600,0)</f>
        <v>0</v>
      </c>
      <c r="E298" s="4">
        <f>E297-(B299+C299/60+D299/3600)</f>
        <v>0</v>
      </c>
      <c r="F298" s="4">
        <f>IF(E298&gt;0,E298,E298+360)</f>
        <v>0</v>
      </c>
    </row>
    <row r="299">
      <c r="B299">
        <v>180</v>
      </c>
      <c r="C299">
        <v>0</v>
      </c>
      <c r="D299" s="4">
        <v>0</v>
      </c>
    </row>
    <row r="300">
      <c r="K300" t="s">
        <v>167</v>
      </c>
      <c r="L300">
        <f>A297</f>
        <v>0</v>
      </c>
    </row>
    <row r="301">
      <c r="A301">
        <f>L292</f>
        <v>0</v>
      </c>
      <c r="B301">
        <f>TRUNC(F301,0)</f>
        <v>0</v>
      </c>
      <c r="C301">
        <f>TRUNC((F301-B301)*60,0)</f>
        <v>0</v>
      </c>
      <c r="D301" s="4">
        <f>ROUND(((F301-B301)-C301/60)*3600,0)</f>
        <v>0</v>
      </c>
      <c r="E301" s="4">
        <f>F301</f>
        <v>0</v>
      </c>
      <c r="F301" s="4">
        <f>I301+J301/60+K301/3600-(H301+G301)/3600</f>
        <v>0</v>
      </c>
      <c r="H301">
        <v>0</v>
      </c>
      <c r="I301" s="4">
        <f>IF(I297&lt;180,I297+180,I297-180)</f>
        <v>0</v>
      </c>
      <c r="J301" s="4">
        <f>J297</f>
        <v>0</v>
      </c>
      <c r="K301" s="4">
        <f>K297</f>
        <v>0</v>
      </c>
    </row>
    <row r="302">
      <c r="B302">
        <f>TRUNC(F302,0)</f>
        <v>0</v>
      </c>
      <c r="C302">
        <f>TRUNC((F302-B302)*60,0)</f>
        <v>0</v>
      </c>
      <c r="D302" s="4">
        <f>ROUND(((F302-B302)-C302/60)*3600,0)</f>
        <v>0</v>
      </c>
      <c r="E302" s="4">
        <f>E301-(B303+C303/60+D303/3600)</f>
        <v>0</v>
      </c>
      <c r="F302" s="4">
        <f>IF(E302&gt;0,E302,E302+360)</f>
        <v>0</v>
      </c>
    </row>
    <row r="303">
      <c r="B303">
        <v>180</v>
      </c>
      <c r="C303">
        <v>0</v>
      </c>
      <c r="D303" s="4">
        <v>0</v>
      </c>
    </row>
    <row r="305">
      <c r="A305">
        <f>TRVS!A48</f>
        <v>0</v>
      </c>
      <c r="B305">
        <f>TRUNC(F305,0)</f>
        <v>0</v>
      </c>
      <c r="C305">
        <f>TRUNC((F305-B305)*60,0)</f>
        <v>0</v>
      </c>
      <c r="D305" s="4">
        <f>ROUND(((F305-B305)-C305/60)*3600,0)</f>
        <v>0</v>
      </c>
      <c r="E305" s="4">
        <f>F305</f>
        <v>0</v>
      </c>
      <c r="F305" s="4">
        <f>I305+J305/60+K305/3600-(H305+G305)/3600</f>
        <v>0</v>
      </c>
      <c r="G305">
        <f>ROUND(((B303+C303/60+D303/3600)-(B307+C307/60+D307/3600))/2*3600,0)</f>
        <v>0</v>
      </c>
      <c r="H305">
        <f>H301</f>
        <v>0</v>
      </c>
      <c r="I305" s="4">
        <f>TRVS!B48</f>
        <v>0</v>
      </c>
      <c r="J305" s="4">
        <f>TRVS!C48</f>
        <v>0</v>
      </c>
      <c r="K305" s="4">
        <f>TRVS!D48</f>
        <v>0</v>
      </c>
      <c r="L305">
        <f>L300</f>
        <v>0</v>
      </c>
      <c r="M305" s="5">
        <f>TRVS!L48</f>
        <v>0</v>
      </c>
      <c r="N305">
        <f>A305</f>
        <v>0</v>
      </c>
      <c r="O305" s="3">
        <f>M305/$M$6</f>
        <v>0</v>
      </c>
    </row>
    <row r="306">
      <c r="B306">
        <f>TRUNC(F306,0)</f>
        <v>0</v>
      </c>
      <c r="C306">
        <f>TRUNC((F306-B306)*60,0)</f>
        <v>0</v>
      </c>
      <c r="D306" s="4">
        <f>ROUND(((F306-B306)-C306/60)*3600,0)</f>
        <v>0</v>
      </c>
      <c r="E306" s="4">
        <f>E305-(B307+C307/60+D307/3600)</f>
        <v>0</v>
      </c>
      <c r="F306" s="4">
        <f>IF(E306&gt;0,E306,E306+360)</f>
        <v>0</v>
      </c>
    </row>
    <row r="307">
      <c r="B307">
        <v>180</v>
      </c>
      <c r="C307">
        <v>0</v>
      </c>
      <c r="D307" s="4">
        <v>0</v>
      </c>
    </row>
    <row r="308">
      <c r="K308" t="s">
        <v>167</v>
      </c>
      <c r="L308">
        <f>A305</f>
        <v>0</v>
      </c>
    </row>
    <row r="309">
      <c r="A309">
        <f>L300</f>
        <v>0</v>
      </c>
      <c r="B309">
        <f>TRUNC(F309,0)</f>
        <v>0</v>
      </c>
      <c r="C309">
        <f>TRUNC((F309-B309)*60,0)</f>
        <v>0</v>
      </c>
      <c r="D309" s="4">
        <f>ROUND(((F309-B309)-C309/60)*3600,0)</f>
        <v>0</v>
      </c>
      <c r="E309" s="4">
        <f>F309</f>
        <v>0</v>
      </c>
      <c r="F309" s="4">
        <f>I309+J309/60+K309/3600-(H309+G309)/3600</f>
        <v>0</v>
      </c>
      <c r="H309">
        <v>0</v>
      </c>
      <c r="I309" s="4">
        <f>IF(I305&lt;180,I305+180,I305-180)</f>
        <v>0</v>
      </c>
      <c r="J309" s="4">
        <f>J305</f>
        <v>0</v>
      </c>
      <c r="K309" s="4">
        <f>K305</f>
        <v>0</v>
      </c>
    </row>
    <row r="310">
      <c r="B310">
        <f>TRUNC(F310,0)</f>
        <v>0</v>
      </c>
      <c r="C310">
        <f>TRUNC((F310-B310)*60,0)</f>
        <v>0</v>
      </c>
      <c r="D310" s="4">
        <f>ROUND(((F310-B310)-C310/60)*3600,0)</f>
        <v>0</v>
      </c>
      <c r="E310" s="4">
        <f>E309-(B311+C311/60+D311/3600)</f>
        <v>0</v>
      </c>
      <c r="F310" s="4">
        <f>IF(E310&gt;0,E310,E310+360)</f>
        <v>0</v>
      </c>
    </row>
    <row r="311">
      <c r="B311">
        <v>180</v>
      </c>
      <c r="C311">
        <v>0</v>
      </c>
      <c r="D311" s="4">
        <v>0</v>
      </c>
    </row>
    <row r="313">
      <c r="A313">
        <f>TRVS!A49</f>
        <v>0</v>
      </c>
      <c r="B313">
        <f>TRUNC(F313,0)</f>
        <v>0</v>
      </c>
      <c r="C313">
        <f>TRUNC((F313-B313)*60,0)</f>
        <v>0</v>
      </c>
      <c r="D313" s="4">
        <f>ROUND(((F313-B313)-C313/60)*3600,0)</f>
        <v>0</v>
      </c>
      <c r="E313" s="4">
        <f>F313</f>
        <v>0</v>
      </c>
      <c r="F313" s="4">
        <f>I313+J313/60+K313/3600-(H313+G313)/3600</f>
        <v>0</v>
      </c>
      <c r="G313">
        <f>ROUND(((B311+C311/60+D311/3600)-(B315+C315/60+D315/3600))/2*3600,0)</f>
        <v>0</v>
      </c>
      <c r="H313">
        <f>H309</f>
        <v>0</v>
      </c>
      <c r="I313" s="4">
        <f>TRVS!B49</f>
        <v>0</v>
      </c>
      <c r="J313" s="4">
        <f>TRVS!C49</f>
        <v>0</v>
      </c>
      <c r="K313" s="4">
        <f>TRVS!D49</f>
        <v>0</v>
      </c>
      <c r="L313">
        <f>L308</f>
        <v>0</v>
      </c>
      <c r="M313" s="5">
        <f>TRVS!L49</f>
        <v>0</v>
      </c>
      <c r="N313">
        <f>A313</f>
        <v>0</v>
      </c>
      <c r="O313" s="3">
        <f>M313/$M$6</f>
        <v>0</v>
      </c>
    </row>
    <row r="314">
      <c r="B314">
        <f>TRUNC(F314,0)</f>
        <v>0</v>
      </c>
      <c r="C314">
        <f>TRUNC((F314-B314)*60,0)</f>
        <v>0</v>
      </c>
      <c r="D314" s="4">
        <f>ROUND(((F314-B314)-C314/60)*3600,0)</f>
        <v>0</v>
      </c>
      <c r="E314" s="4">
        <f>E313-(B315+C315/60+D315/3600)</f>
        <v>0</v>
      </c>
      <c r="F314" s="4">
        <f>IF(E314&gt;0,E314,E314+360)</f>
        <v>0</v>
      </c>
    </row>
    <row r="315">
      <c r="B315">
        <v>180</v>
      </c>
      <c r="C315">
        <v>0</v>
      </c>
      <c r="D315" s="4">
        <v>0</v>
      </c>
    </row>
    <row r="316">
      <c r="K316" t="s">
        <v>167</v>
      </c>
      <c r="L316">
        <f>A313</f>
        <v>0</v>
      </c>
    </row>
    <row r="317">
      <c r="A317">
        <f>L308</f>
        <v>0</v>
      </c>
      <c r="B317">
        <f>TRUNC(F317,0)</f>
        <v>0</v>
      </c>
      <c r="C317">
        <f>TRUNC((F317-B317)*60,0)</f>
        <v>0</v>
      </c>
      <c r="D317" s="4">
        <f>ROUND(((F317-B317)-C317/60)*3600,0)</f>
        <v>0</v>
      </c>
      <c r="E317" s="4">
        <f>F317</f>
        <v>0</v>
      </c>
      <c r="F317" s="4">
        <f>I317+J317/60+K317/3600-(H317+G317)/3600</f>
        <v>0</v>
      </c>
      <c r="H317">
        <v>0</v>
      </c>
      <c r="I317" s="4">
        <f>IF(I313&lt;180,I313+180,I313-180)</f>
        <v>0</v>
      </c>
      <c r="J317" s="4">
        <f>J313</f>
        <v>0</v>
      </c>
      <c r="K317" s="4">
        <f>K313</f>
        <v>0</v>
      </c>
    </row>
    <row r="318">
      <c r="B318">
        <f>TRUNC(F318,0)</f>
        <v>0</v>
      </c>
      <c r="C318">
        <f>TRUNC((F318-B318)*60,0)</f>
        <v>0</v>
      </c>
      <c r="D318" s="4">
        <f>ROUND(((F318-B318)-C318/60)*3600,0)</f>
        <v>0</v>
      </c>
      <c r="E318" s="4">
        <f>E317-(B319+C319/60+D319/3600)</f>
        <v>0</v>
      </c>
      <c r="F318" s="4">
        <f>IF(E318&gt;0,E318,E318+360)</f>
        <v>0</v>
      </c>
    </row>
    <row r="319">
      <c r="B319">
        <v>180</v>
      </c>
      <c r="C319">
        <v>0</v>
      </c>
      <c r="D319" s="4">
        <v>0</v>
      </c>
    </row>
    <row r="321">
      <c r="A321">
        <f>TRVS!A50</f>
        <v>0</v>
      </c>
      <c r="B321">
        <f>TRUNC(F321,0)</f>
        <v>0</v>
      </c>
      <c r="C321">
        <f>TRUNC((F321-B321)*60,0)</f>
        <v>0</v>
      </c>
      <c r="D321" s="4">
        <f>ROUND(((F321-B321)-C321/60)*3600,0)</f>
        <v>0</v>
      </c>
      <c r="E321" s="4">
        <f>F321</f>
        <v>0</v>
      </c>
      <c r="F321" s="4">
        <f>I321+J321/60+K321/3600-(H321+G321)/3600</f>
        <v>0</v>
      </c>
      <c r="G321">
        <f>ROUND(((B319+C319/60+D319/3600)-(B323+C323/60+D323/3600))/2*3600,0)</f>
        <v>0</v>
      </c>
      <c r="H321">
        <f>H317</f>
        <v>0</v>
      </c>
      <c r="I321" s="4">
        <f>TRVS!B50</f>
        <v>0</v>
      </c>
      <c r="J321" s="4">
        <f>TRVS!C50</f>
        <v>0</v>
      </c>
      <c r="K321" s="4">
        <f>TRVS!D50</f>
        <v>0</v>
      </c>
      <c r="L321">
        <f>L316</f>
        <v>0</v>
      </c>
      <c r="M321" s="5">
        <f>TRVS!L50</f>
        <v>0</v>
      </c>
      <c r="N321">
        <f>A321</f>
        <v>0</v>
      </c>
      <c r="O321" s="3">
        <f>M321/$M$6</f>
        <v>0</v>
      </c>
    </row>
    <row r="322">
      <c r="B322">
        <f>TRUNC(F322,0)</f>
        <v>0</v>
      </c>
      <c r="C322">
        <f>TRUNC((F322-B322)*60,0)</f>
        <v>0</v>
      </c>
      <c r="D322" s="4">
        <f>ROUND(((F322-B322)-C322/60)*3600,0)</f>
        <v>0</v>
      </c>
      <c r="E322" s="4">
        <f>E321-(B323+C323/60+D323/3600)</f>
        <v>0</v>
      </c>
      <c r="F322" s="4">
        <f>IF(E322&gt;0,E322,E322+360)</f>
        <v>0</v>
      </c>
    </row>
    <row r="323">
      <c r="B323">
        <v>180</v>
      </c>
      <c r="C323">
        <v>0</v>
      </c>
      <c r="D323" s="4">
        <v>0</v>
      </c>
    </row>
    <row r="324">
      <c r="K324" t="s">
        <v>167</v>
      </c>
      <c r="L324">
        <f>A321</f>
        <v>0</v>
      </c>
    </row>
    <row r="325">
      <c r="A325">
        <f>L316</f>
        <v>0</v>
      </c>
      <c r="B325">
        <f>TRUNC(F325,0)</f>
        <v>0</v>
      </c>
      <c r="C325">
        <f>TRUNC((F325-B325)*60,0)</f>
        <v>0</v>
      </c>
      <c r="D325" s="4">
        <f>ROUND(((F325-B325)-C325/60)*3600,0)</f>
        <v>0</v>
      </c>
      <c r="E325" s="4">
        <f>F325</f>
        <v>0</v>
      </c>
      <c r="F325" s="4">
        <f>I325+J325/60+K325/3600-(H325+G325)/3600</f>
        <v>0</v>
      </c>
      <c r="H325">
        <v>0</v>
      </c>
      <c r="I325" s="4">
        <f>IF(I321&lt;180,I321+180,I321-180)</f>
        <v>0</v>
      </c>
      <c r="J325" s="4">
        <f>J321</f>
        <v>0</v>
      </c>
      <c r="K325" s="4">
        <f>K321</f>
        <v>0</v>
      </c>
    </row>
    <row r="326">
      <c r="B326">
        <f>TRUNC(F326,0)</f>
        <v>0</v>
      </c>
      <c r="C326">
        <f>TRUNC((F326-B326)*60,0)</f>
        <v>0</v>
      </c>
      <c r="D326" s="4">
        <f>ROUND(((F326-B326)-C326/60)*3600,0)</f>
        <v>0</v>
      </c>
      <c r="E326" s="4">
        <f>E325-(B327+C327/60+D327/3600)</f>
        <v>0</v>
      </c>
      <c r="F326" s="4">
        <f>IF(E326&gt;0,E326,E326+360)</f>
        <v>0</v>
      </c>
    </row>
    <row r="327">
      <c r="B327">
        <v>180</v>
      </c>
      <c r="C327">
        <v>0</v>
      </c>
      <c r="D327" s="4">
        <v>0</v>
      </c>
    </row>
    <row r="329">
      <c r="A329">
        <f>TRVS!A51</f>
        <v>0</v>
      </c>
      <c r="B329">
        <f>TRUNC(F329,0)</f>
        <v>0</v>
      </c>
      <c r="C329">
        <f>TRUNC((F329-B329)*60,0)</f>
        <v>0</v>
      </c>
      <c r="D329" s="4">
        <f>ROUND(((F329-B329)-C329/60)*3600,0)</f>
        <v>0</v>
      </c>
      <c r="E329" s="4">
        <f>F329</f>
        <v>0</v>
      </c>
      <c r="F329" s="4">
        <f>I329+J329/60+K329/3600-(H329+G329)/3600</f>
        <v>0</v>
      </c>
      <c r="G329">
        <f>ROUND(((B327+C327/60+D327/3600)-(B331+C331/60+D331/3600))/2*3600,0)</f>
        <v>0</v>
      </c>
      <c r="H329">
        <f>H325</f>
        <v>0</v>
      </c>
      <c r="I329" s="4">
        <f>TRVS!B51</f>
        <v>0</v>
      </c>
      <c r="J329" s="4">
        <f>TRVS!C51</f>
        <v>0</v>
      </c>
      <c r="K329" s="4">
        <f>TRVS!D51</f>
        <v>0</v>
      </c>
      <c r="L329">
        <f>L324</f>
        <v>0</v>
      </c>
      <c r="M329" s="5">
        <f>TRVS!L51</f>
        <v>0</v>
      </c>
      <c r="N329">
        <f>A329</f>
        <v>0</v>
      </c>
      <c r="O329" s="3">
        <f>M329/$M$6</f>
        <v>0</v>
      </c>
    </row>
    <row r="330">
      <c r="B330">
        <f>TRUNC(F330,0)</f>
        <v>0</v>
      </c>
      <c r="C330">
        <f>TRUNC((F330-B330)*60,0)</f>
        <v>0</v>
      </c>
      <c r="D330" s="4">
        <f>ROUND(((F330-B330)-C330/60)*3600,0)</f>
        <v>0</v>
      </c>
      <c r="E330" s="4">
        <f>E329-(B331+C331/60+D331/3600)</f>
        <v>0</v>
      </c>
      <c r="F330" s="4">
        <f>IF(E330&gt;0,E330,E330+360)</f>
        <v>0</v>
      </c>
    </row>
    <row r="331">
      <c r="B331">
        <v>180</v>
      </c>
      <c r="C331">
        <v>0</v>
      </c>
      <c r="D331" s="4">
        <v>0</v>
      </c>
    </row>
    <row r="332">
      <c r="K332" t="s">
        <v>167</v>
      </c>
      <c r="L332">
        <f>A329</f>
        <v>0</v>
      </c>
    </row>
    <row r="333">
      <c r="A333">
        <f>L324</f>
        <v>0</v>
      </c>
      <c r="B333">
        <f>TRUNC(F333,0)</f>
        <v>0</v>
      </c>
      <c r="C333">
        <f>TRUNC((F333-B333)*60,0)</f>
        <v>0</v>
      </c>
      <c r="D333" s="4">
        <f>ROUND(((F333-B333)-C333/60)*3600,0)</f>
        <v>0</v>
      </c>
      <c r="E333" s="4">
        <f>F333</f>
        <v>0</v>
      </c>
      <c r="F333" s="4">
        <f>I333+J333/60+K333/3600-(H333+G333)/3600</f>
        <v>0</v>
      </c>
      <c r="H333">
        <v>0</v>
      </c>
      <c r="I333" s="4">
        <f>IF(I329&lt;180,I329+180,I329-180)</f>
        <v>0</v>
      </c>
      <c r="J333" s="4">
        <f>J329</f>
        <v>0</v>
      </c>
      <c r="K333" s="4">
        <f>K329</f>
        <v>0</v>
      </c>
    </row>
    <row r="334">
      <c r="B334">
        <f>TRUNC(F334,0)</f>
        <v>0</v>
      </c>
      <c r="C334">
        <f>TRUNC((F334-B334)*60,0)</f>
        <v>0</v>
      </c>
      <c r="D334" s="4">
        <f>ROUND(((F334-B334)-C334/60)*3600,0)</f>
        <v>0</v>
      </c>
      <c r="E334" s="4">
        <f>E333-(B335+C335/60+D335/3600)</f>
        <v>0</v>
      </c>
      <c r="F334" s="4">
        <f>IF(E334&gt;0,E334,E334+360)</f>
        <v>0</v>
      </c>
    </row>
    <row r="335">
      <c r="B335">
        <v>180</v>
      </c>
      <c r="C335">
        <v>0</v>
      </c>
      <c r="D335" s="4">
        <v>0</v>
      </c>
    </row>
    <row r="337">
      <c r="A337">
        <f>TRVS!A52</f>
        <v>0</v>
      </c>
      <c r="B337">
        <f>TRUNC(F337,0)</f>
        <v>0</v>
      </c>
      <c r="C337">
        <f>TRUNC((F337-B337)*60,0)</f>
        <v>0</v>
      </c>
      <c r="D337" s="4">
        <f>ROUND(((F337-B337)-C337/60)*3600,0)</f>
        <v>0</v>
      </c>
      <c r="E337" s="4">
        <f>F337</f>
        <v>0</v>
      </c>
      <c r="F337" s="4">
        <f>I337+J337/60+K337/3600-(H337+G337)/3600</f>
        <v>0</v>
      </c>
      <c r="G337">
        <f>ROUND(((B335+C335/60+D335/3600)-(B339+C339/60+D339/3600))/2*3600,0)</f>
        <v>0</v>
      </c>
      <c r="H337">
        <f>H333</f>
        <v>0</v>
      </c>
      <c r="I337" s="4">
        <f>TRVS!B52</f>
        <v>0</v>
      </c>
      <c r="J337" s="4">
        <f>TRVS!C52</f>
        <v>0</v>
      </c>
      <c r="K337" s="4">
        <f>TRVS!D52</f>
        <v>0</v>
      </c>
      <c r="L337">
        <f>L332</f>
        <v>0</v>
      </c>
      <c r="M337" s="5">
        <f>TRVS!L52</f>
        <v>0</v>
      </c>
      <c r="N337">
        <f>A337</f>
        <v>0</v>
      </c>
      <c r="O337" s="3">
        <f>M337/$M$6</f>
        <v>0</v>
      </c>
    </row>
    <row r="338">
      <c r="B338">
        <f>TRUNC(F338,0)</f>
        <v>0</v>
      </c>
      <c r="C338">
        <f>TRUNC((F338-B338)*60,0)</f>
        <v>0</v>
      </c>
      <c r="D338" s="4">
        <f>ROUND(((F338-B338)-C338/60)*3600,0)</f>
        <v>0</v>
      </c>
      <c r="E338" s="4">
        <f>E337-(B339+C339/60+D339/3600)</f>
        <v>0</v>
      </c>
      <c r="F338" s="4">
        <f>IF(E338&gt;0,E338,E338+360)</f>
        <v>0</v>
      </c>
    </row>
    <row r="339">
      <c r="B339">
        <v>180</v>
      </c>
      <c r="C339">
        <v>0</v>
      </c>
      <c r="D339" s="4">
        <v>0</v>
      </c>
    </row>
    <row r="340">
      <c r="K340" t="s">
        <v>167</v>
      </c>
      <c r="L340">
        <f>A337</f>
        <v>0</v>
      </c>
    </row>
    <row r="341">
      <c r="A341">
        <f>L332</f>
        <v>0</v>
      </c>
      <c r="B341">
        <f>TRUNC(F341,0)</f>
        <v>0</v>
      </c>
      <c r="C341">
        <f>TRUNC((F341-B341)*60,0)</f>
        <v>0</v>
      </c>
      <c r="D341" s="4">
        <f>ROUND(((F341-B341)-C341/60)*3600,0)</f>
        <v>0</v>
      </c>
      <c r="E341" s="4">
        <f>F341</f>
        <v>0</v>
      </c>
      <c r="F341" s="4">
        <f>I341+J341/60+K341/3600-(H341+G341)/3600</f>
        <v>0</v>
      </c>
      <c r="H341">
        <v>0</v>
      </c>
      <c r="I341" s="4">
        <f>IF(I337&lt;180,I337+180,I337-180)</f>
        <v>0</v>
      </c>
      <c r="J341" s="4">
        <f>J337</f>
        <v>0</v>
      </c>
      <c r="K341" s="4">
        <f>K337</f>
        <v>0</v>
      </c>
    </row>
    <row r="342">
      <c r="B342">
        <f>TRUNC(F342,0)</f>
        <v>0</v>
      </c>
      <c r="C342">
        <f>TRUNC((F342-B342)*60,0)</f>
        <v>0</v>
      </c>
      <c r="D342" s="4">
        <f>ROUND(((F342-B342)-C342/60)*3600,0)</f>
        <v>0</v>
      </c>
      <c r="E342" s="4">
        <f>E341-(B343+C343/60+D343/3600)</f>
        <v>0</v>
      </c>
      <c r="F342" s="4">
        <f>IF(E342&gt;0,E342,E342+360)</f>
        <v>0</v>
      </c>
    </row>
    <row r="343">
      <c r="B343">
        <v>180</v>
      </c>
      <c r="C343">
        <v>0</v>
      </c>
      <c r="D343" s="4">
        <v>0</v>
      </c>
    </row>
    <row r="345">
      <c r="A345">
        <f>TRVS!A53</f>
        <v>0</v>
      </c>
      <c r="B345">
        <f>TRUNC(F345,0)</f>
        <v>0</v>
      </c>
      <c r="C345">
        <f>TRUNC((F345-B345)*60,0)</f>
        <v>0</v>
      </c>
      <c r="D345" s="4">
        <f>ROUND(((F345-B345)-C345/60)*3600,0)</f>
        <v>0</v>
      </c>
      <c r="E345" s="4">
        <f>F345</f>
        <v>0</v>
      </c>
      <c r="F345" s="4">
        <f>I345+J345/60+K345/3600-(H345+G345)/3600</f>
        <v>0</v>
      </c>
      <c r="G345">
        <f>ROUND(((B343+C343/60+D343/3600)-(B347+C347/60+D347/3600))/2*3600,0)</f>
        <v>0</v>
      </c>
      <c r="H345">
        <f>H341</f>
        <v>0</v>
      </c>
      <c r="I345" s="4">
        <f>TRVS!B53</f>
        <v>0</v>
      </c>
      <c r="J345" s="4">
        <f>TRVS!C53</f>
        <v>0</v>
      </c>
      <c r="K345" s="4">
        <f>TRVS!D53</f>
        <v>0</v>
      </c>
      <c r="L345">
        <f>L340</f>
        <v>0</v>
      </c>
      <c r="M345" s="5">
        <f>TRVS!L53</f>
        <v>0</v>
      </c>
      <c r="N345">
        <f>A345</f>
        <v>0</v>
      </c>
      <c r="O345" s="3">
        <f>M345/$M$6</f>
        <v>0</v>
      </c>
    </row>
    <row r="346">
      <c r="B346">
        <f>TRUNC(F346,0)</f>
        <v>0</v>
      </c>
      <c r="C346">
        <f>TRUNC((F346-B346)*60,0)</f>
        <v>0</v>
      </c>
      <c r="D346" s="4">
        <f>ROUND(((F346-B346)-C346/60)*3600,0)</f>
        <v>0</v>
      </c>
      <c r="E346" s="4">
        <f>E345-(B347+C347/60+D347/3600)</f>
        <v>0</v>
      </c>
      <c r="F346" s="4">
        <f>IF(E346&gt;0,E346,E346+360)</f>
        <v>0</v>
      </c>
    </row>
    <row r="347">
      <c r="B347">
        <v>180</v>
      </c>
      <c r="C347">
        <v>0</v>
      </c>
      <c r="D347" s="4">
        <v>0</v>
      </c>
    </row>
    <row r="348">
      <c r="K348" t="s">
        <v>167</v>
      </c>
      <c r="L348">
        <f>A345</f>
        <v>0</v>
      </c>
    </row>
    <row r="349">
      <c r="A349">
        <f>L340</f>
        <v>0</v>
      </c>
      <c r="B349">
        <f>TRUNC(F349,0)</f>
        <v>0</v>
      </c>
      <c r="C349">
        <f>TRUNC((F349-B349)*60,0)</f>
        <v>0</v>
      </c>
      <c r="D349" s="4">
        <f>ROUND(((F349-B349)-C349/60)*3600,0)</f>
        <v>0</v>
      </c>
      <c r="E349" s="4">
        <f>F349</f>
        <v>0</v>
      </c>
      <c r="F349" s="4">
        <f>I349+J349/60+K349/3600-(H349+G349)/3600</f>
        <v>0</v>
      </c>
      <c r="H349">
        <v>0</v>
      </c>
      <c r="I349" s="4">
        <f>IF(I345&lt;180,I345+180,I345-180)</f>
        <v>0</v>
      </c>
      <c r="J349" s="4">
        <f>J345</f>
        <v>0</v>
      </c>
      <c r="K349" s="4">
        <f>K345</f>
        <v>0</v>
      </c>
    </row>
    <row r="350">
      <c r="B350">
        <f>TRUNC(F350,0)</f>
        <v>0</v>
      </c>
      <c r="C350">
        <f>TRUNC((F350-B350)*60,0)</f>
        <v>0</v>
      </c>
      <c r="D350" s="4">
        <f>ROUND(((F350-B350)-C350/60)*3600,0)</f>
        <v>0</v>
      </c>
      <c r="E350" s="4">
        <f>E349-(B351+C351/60+D351/3600)</f>
        <v>0</v>
      </c>
      <c r="F350" s="4">
        <f>IF(E350&gt;0,E350,E350+360)</f>
        <v>0</v>
      </c>
    </row>
    <row r="351">
      <c r="B351">
        <v>180</v>
      </c>
      <c r="C351">
        <v>0</v>
      </c>
      <c r="D351" s="4">
        <v>0</v>
      </c>
    </row>
    <row r="353">
      <c r="A353">
        <f>TRVS!A54</f>
        <v>0</v>
      </c>
      <c r="B353">
        <f>TRUNC(F353,0)</f>
        <v>0</v>
      </c>
      <c r="C353">
        <f>TRUNC((F353-B353)*60,0)</f>
        <v>0</v>
      </c>
      <c r="D353" s="4">
        <f>ROUND(((F353-B353)-C353/60)*3600,0)</f>
        <v>0</v>
      </c>
      <c r="E353" s="4">
        <f>F353</f>
        <v>0</v>
      </c>
      <c r="F353" s="4">
        <f>I353+J353/60+K353/3600-(H353+G353)/3600</f>
        <v>0</v>
      </c>
      <c r="G353">
        <f>ROUND(((B351+C351/60+D351/3600)-(B355+C355/60+D355/3600))/2*3600,0)</f>
        <v>0</v>
      </c>
      <c r="H353">
        <f>H349</f>
        <v>0</v>
      </c>
      <c r="I353" s="4">
        <f>TRVS!B54</f>
        <v>0</v>
      </c>
      <c r="J353" s="4">
        <f>TRVS!C54</f>
        <v>0</v>
      </c>
      <c r="K353" s="4">
        <f>TRVS!D54</f>
        <v>0</v>
      </c>
      <c r="L353">
        <f>L348</f>
        <v>0</v>
      </c>
      <c r="M353" s="5">
        <f>TRVS!L54</f>
        <v>0</v>
      </c>
      <c r="N353">
        <f>A353</f>
        <v>0</v>
      </c>
      <c r="O353" s="3">
        <f>M353/$M$6</f>
        <v>0</v>
      </c>
    </row>
    <row r="354">
      <c r="B354">
        <f>TRUNC(F354,0)</f>
        <v>0</v>
      </c>
      <c r="C354">
        <f>TRUNC((F354-B354)*60,0)</f>
        <v>0</v>
      </c>
      <c r="D354" s="4">
        <f>ROUND(((F354-B354)-C354/60)*3600,0)</f>
        <v>0</v>
      </c>
      <c r="E354" s="4">
        <f>E353-(B355+C355/60+D355/3600)</f>
        <v>0</v>
      </c>
      <c r="F354" s="4">
        <f>IF(E354&gt;0,E354,E354+360)</f>
        <v>0</v>
      </c>
    </row>
    <row r="355">
      <c r="B355">
        <v>180</v>
      </c>
      <c r="C355">
        <v>0</v>
      </c>
      <c r="D355" s="4">
        <v>0</v>
      </c>
    </row>
    <row r="356">
      <c r="K356" t="s">
        <v>167</v>
      </c>
      <c r="L356">
        <f>A353</f>
        <v>0</v>
      </c>
    </row>
    <row r="357">
      <c r="A357">
        <f>L348</f>
        <v>0</v>
      </c>
      <c r="B357">
        <f>TRUNC(F357,0)</f>
        <v>0</v>
      </c>
      <c r="C357">
        <f>TRUNC((F357-B357)*60,0)</f>
        <v>0</v>
      </c>
      <c r="D357" s="4">
        <f>ROUND(((F357-B357)-C357/60)*3600,0)</f>
        <v>0</v>
      </c>
      <c r="E357" s="4">
        <f>F357</f>
        <v>0</v>
      </c>
      <c r="F357" s="4">
        <f>I357+J357/60+K357/3600-(H357+G357)/3600</f>
        <v>0</v>
      </c>
      <c r="H357">
        <v>0</v>
      </c>
      <c r="I357" s="4">
        <f>IF(I353&lt;180,I353+180,I353-180)</f>
        <v>0</v>
      </c>
      <c r="J357" s="4">
        <f>J353</f>
        <v>0</v>
      </c>
      <c r="K357" s="4">
        <f>K353</f>
        <v>0</v>
      </c>
    </row>
    <row r="358">
      <c r="B358">
        <f>TRUNC(F358,0)</f>
        <v>0</v>
      </c>
      <c r="C358">
        <f>TRUNC((F358-B358)*60,0)</f>
        <v>0</v>
      </c>
      <c r="D358" s="4">
        <f>ROUND(((F358-B358)-C358/60)*3600,0)</f>
        <v>0</v>
      </c>
      <c r="E358" s="4">
        <f>E357-(B359+C359/60+D359/3600)</f>
        <v>0</v>
      </c>
      <c r="F358" s="4">
        <f>IF(E358&gt;0,E358,E358+360)</f>
        <v>0</v>
      </c>
    </row>
    <row r="359">
      <c r="B359">
        <v>180</v>
      </c>
      <c r="C359">
        <v>0</v>
      </c>
      <c r="D359" s="4">
        <v>0</v>
      </c>
    </row>
    <row r="361">
      <c r="A361">
        <f>TRVS!A55</f>
        <v>0</v>
      </c>
      <c r="B361">
        <f>TRUNC(F361,0)</f>
        <v>0</v>
      </c>
      <c r="C361">
        <f>TRUNC((F361-B361)*60,0)</f>
        <v>0</v>
      </c>
      <c r="D361" s="4">
        <f>ROUND(((F361-B361)-C361/60)*3600,0)</f>
        <v>0</v>
      </c>
      <c r="E361" s="4">
        <f>F361</f>
        <v>0</v>
      </c>
      <c r="F361" s="4">
        <f>I361+J361/60+K361/3600-(H361+G361)/3600</f>
        <v>0</v>
      </c>
      <c r="G361">
        <f>ROUND(((B359+C359/60+D359/3600)-(B363+C363/60+D363/3600))/2*3600,0)</f>
        <v>0</v>
      </c>
      <c r="H361">
        <f>H357</f>
        <v>0</v>
      </c>
      <c r="I361" s="4">
        <f>TRVS!B55</f>
        <v>0</v>
      </c>
      <c r="J361" s="4">
        <f>TRVS!C55</f>
        <v>0</v>
      </c>
      <c r="K361" s="4">
        <f>TRVS!D55</f>
        <v>0</v>
      </c>
      <c r="L361">
        <f>L356</f>
        <v>0</v>
      </c>
      <c r="M361" s="5">
        <f>TRVS!L55</f>
        <v>0</v>
      </c>
      <c r="N361">
        <f>A361</f>
        <v>0</v>
      </c>
      <c r="O361" s="3">
        <f>M361/$M$6</f>
        <v>0</v>
      </c>
    </row>
    <row r="362">
      <c r="B362">
        <f>TRUNC(F362,0)</f>
        <v>0</v>
      </c>
      <c r="C362">
        <f>TRUNC((F362-B362)*60,0)</f>
        <v>0</v>
      </c>
      <c r="D362" s="4">
        <f>ROUND(((F362-B362)-C362/60)*3600,0)</f>
        <v>0</v>
      </c>
      <c r="E362" s="4">
        <f>E361-(B363+C363/60+D363/3600)</f>
        <v>0</v>
      </c>
      <c r="F362" s="4">
        <f>IF(E362&gt;0,E362,E362+360)</f>
        <v>0</v>
      </c>
    </row>
    <row r="363">
      <c r="B363">
        <v>180</v>
      </c>
      <c r="C363">
        <v>0</v>
      </c>
      <c r="D363" s="4">
        <v>0</v>
      </c>
    </row>
    <row r="364">
      <c r="K364" t="s">
        <v>167</v>
      </c>
      <c r="L364">
        <f>A361</f>
        <v>0</v>
      </c>
    </row>
    <row r="365">
      <c r="A365">
        <f>L356</f>
        <v>0</v>
      </c>
      <c r="B365">
        <f>TRUNC(F365,0)</f>
        <v>0</v>
      </c>
      <c r="C365">
        <f>TRUNC((F365-B365)*60,0)</f>
        <v>0</v>
      </c>
      <c r="D365" s="4">
        <f>ROUND(((F365-B365)-C365/60)*3600,0)</f>
        <v>0</v>
      </c>
      <c r="E365" s="4">
        <f>F365</f>
        <v>0</v>
      </c>
      <c r="F365" s="4">
        <f>I365+J365/60+K365/3600-(H365+G365)/3600</f>
        <v>0</v>
      </c>
      <c r="H365">
        <v>0</v>
      </c>
      <c r="I365" s="4">
        <f>IF(I361&lt;180,I361+180,I361-180)</f>
        <v>0</v>
      </c>
      <c r="J365" s="4">
        <f>J361</f>
        <v>0</v>
      </c>
      <c r="K365" s="4">
        <f>K361</f>
        <v>0</v>
      </c>
    </row>
    <row r="366">
      <c r="B366">
        <f>TRUNC(F366,0)</f>
        <v>0</v>
      </c>
      <c r="C366">
        <f>TRUNC((F366-B366)*60,0)</f>
        <v>0</v>
      </c>
      <c r="D366" s="4">
        <f>ROUND(((F366-B366)-C366/60)*3600,0)</f>
        <v>0</v>
      </c>
      <c r="E366" s="4">
        <f>E365-(B367+C367/60+D367/3600)</f>
        <v>0</v>
      </c>
      <c r="F366" s="4">
        <f>IF(E366&gt;0,E366,E366+360)</f>
        <v>0</v>
      </c>
    </row>
    <row r="367">
      <c r="B367">
        <v>180</v>
      </c>
      <c r="C367">
        <v>0</v>
      </c>
      <c r="D367" s="4">
        <v>0</v>
      </c>
    </row>
    <row r="369">
      <c r="A369">
        <f>TRVS!A56</f>
        <v>0</v>
      </c>
      <c r="B369">
        <f>TRUNC(F369,0)</f>
        <v>0</v>
      </c>
      <c r="C369">
        <f>TRUNC((F369-B369)*60,0)</f>
        <v>0</v>
      </c>
      <c r="D369" s="4">
        <f>ROUND(((F369-B369)-C369/60)*3600,0)</f>
        <v>0</v>
      </c>
      <c r="E369" s="4">
        <f>F369</f>
        <v>0</v>
      </c>
      <c r="F369" s="4">
        <f>I369+J369/60+K369/3600-(H369+G369)/3600</f>
        <v>0</v>
      </c>
      <c r="G369">
        <f>ROUND(((B367+C367/60+D367/3600)-(B371+C371/60+D371/3600))/2*3600,0)</f>
        <v>0</v>
      </c>
      <c r="H369">
        <f>H365</f>
        <v>0</v>
      </c>
      <c r="I369" s="4">
        <f>TRVS!B56</f>
        <v>0</v>
      </c>
      <c r="J369" s="4">
        <f>TRVS!C56</f>
        <v>0</v>
      </c>
      <c r="K369" s="4">
        <f>TRVS!D56</f>
        <v>0</v>
      </c>
      <c r="L369">
        <f>L364</f>
        <v>0</v>
      </c>
      <c r="M369" s="5">
        <f>TRVS!L56</f>
        <v>0</v>
      </c>
      <c r="N369">
        <f>A369</f>
        <v>0</v>
      </c>
      <c r="O369" s="3">
        <f>M369/$M$6</f>
        <v>0</v>
      </c>
    </row>
    <row r="370">
      <c r="B370">
        <f>TRUNC(F370,0)</f>
        <v>0</v>
      </c>
      <c r="C370">
        <f>TRUNC((F370-B370)*60,0)</f>
        <v>0</v>
      </c>
      <c r="D370" s="4">
        <f>ROUND(((F370-B370)-C370/60)*3600,0)</f>
        <v>0</v>
      </c>
      <c r="E370" s="4">
        <f>E369-(B371+C371/60+D371/3600)</f>
        <v>0</v>
      </c>
      <c r="F370" s="4">
        <f>IF(E370&gt;0,E370,E370+360)</f>
        <v>0</v>
      </c>
    </row>
    <row r="371">
      <c r="B371">
        <v>180</v>
      </c>
      <c r="C371">
        <v>0</v>
      </c>
      <c r="D371" s="4">
        <v>0</v>
      </c>
    </row>
    <row r="372">
      <c r="K372" t="s">
        <v>167</v>
      </c>
      <c r="L372">
        <f>A369</f>
        <v>0</v>
      </c>
    </row>
    <row r="373">
      <c r="A373">
        <f>L364</f>
        <v>0</v>
      </c>
      <c r="B373">
        <f>TRUNC(F373,0)</f>
        <v>0</v>
      </c>
      <c r="C373">
        <f>TRUNC((F373-B373)*60,0)</f>
        <v>0</v>
      </c>
      <c r="D373" s="4">
        <f>ROUND(((F373-B373)-C373/60)*3600,0)</f>
        <v>0</v>
      </c>
      <c r="E373" s="4">
        <f>F373</f>
        <v>0</v>
      </c>
      <c r="F373" s="4">
        <f>I373+J373/60+K373/3600-(H373+G373)/3600</f>
        <v>0</v>
      </c>
      <c r="H373">
        <v>0</v>
      </c>
      <c r="I373" s="4">
        <f>IF(I369&lt;180,I369+180,I369-180)</f>
        <v>0</v>
      </c>
      <c r="J373" s="4">
        <f>J369</f>
        <v>0</v>
      </c>
      <c r="K373" s="4">
        <f>K369</f>
        <v>0</v>
      </c>
    </row>
    <row r="374">
      <c r="B374">
        <f>TRUNC(F374,0)</f>
        <v>0</v>
      </c>
      <c r="C374">
        <f>TRUNC((F374-B374)*60,0)</f>
        <v>0</v>
      </c>
      <c r="D374" s="4">
        <f>ROUND(((F374-B374)-C374/60)*3600,0)</f>
        <v>0</v>
      </c>
      <c r="E374" s="4">
        <f>E373-(B375+C375/60+D375/3600)</f>
        <v>0</v>
      </c>
      <c r="F374" s="4">
        <f>IF(E374&gt;0,E374,E374+360)</f>
        <v>0</v>
      </c>
    </row>
    <row r="375">
      <c r="B375">
        <v>180</v>
      </c>
      <c r="C375">
        <v>0</v>
      </c>
      <c r="D375" s="4">
        <v>0</v>
      </c>
    </row>
    <row r="377">
      <c r="A377" t="s">
        <f>TRVS!A57</f>
        <v>93</v>
      </c>
      <c r="B377" t="s">
        <f>TRUNC(F377,0)</f>
        <v>296</v>
      </c>
      <c r="C377" t="s">
        <f>TRUNC((F377-B377)*60,0)</f>
        <v>212</v>
      </c>
      <c r="D377" s="4" t="s">
        <f>ROUND(((F377-B377)-C377/60)*3600,0)</f>
        <v>174</v>
      </c>
      <c r="E377" s="4" t="s">
        <f>F377</f>
        <v>297</v>
      </c>
      <c r="F377" s="4" t="s">
        <f>I377+J377/60+K377/3600-(H377+G377)/3600</f>
        <v>297</v>
      </c>
      <c r="G377" t="s">
        <f>ROUND(((B127+C127/60+D127/3600)-(B379+C379/60+D379/3600))/2*3600,0)</f>
        <v>208</v>
      </c>
      <c r="H377" t="s">
        <f>H125</f>
        <v>195</v>
      </c>
      <c r="I377" s="4" t="s">
        <f>TRVS!B57</f>
        <v>296</v>
      </c>
      <c r="J377" s="4" t="s">
        <f>TRVS!C57</f>
        <v>212</v>
      </c>
      <c r="K377" s="4" t="s">
        <f>TRVS!D57</f>
        <v>174</v>
      </c>
      <c r="L377" t="s">
        <f>L124</f>
        <v>61</v>
      </c>
      <c r="M377" s="5" t="s">
        <f>TRVS!L57</f>
        <v>298</v>
      </c>
      <c r="N377" t="s">
        <f>A377</f>
        <v>93</v>
      </c>
      <c r="O377" s="3" t="s">
        <f>M377/$M$6</f>
        <v>299</v>
      </c>
    </row>
    <row r="378">
      <c r="B378" t="s">
        <f>TRUNC(F378,0)</f>
        <v>300</v>
      </c>
      <c r="C378" t="s">
        <f>TRUNC((F378-B378)*60,0)</f>
        <v>212</v>
      </c>
      <c r="D378" s="4" t="s">
        <f>ROUND(((F378-B378)-C378/60)*3600,0)</f>
        <v>213</v>
      </c>
      <c r="E378" s="4" t="s">
        <f>E377-(B379+C379/60+D379/3600)</f>
        <v>301</v>
      </c>
      <c r="F378" s="4" t="s">
        <f>IF(E378&gt;0,E378,E378+360)</f>
        <v>301</v>
      </c>
    </row>
    <row r="379">
      <c r="B379">
        <v>179</v>
      </c>
      <c r="C379">
        <v>59</v>
      </c>
      <c r="D379" s="4">
        <v>58</v>
      </c>
    </row>
    <row r="380">
      <c r="K380" t="s">
        <v>167</v>
      </c>
      <c r="L380" t="s">
        <f>A377</f>
        <v>93</v>
      </c>
    </row>
    <row r="381">
      <c r="A381" t="s">
        <f>L124</f>
        <v>61</v>
      </c>
      <c r="B381" t="s">
        <f>TRUNC(F381,0)</f>
        <v>300</v>
      </c>
      <c r="C381" t="s">
        <f>TRUNC((F381-B381)*60,0)</f>
        <v>212</v>
      </c>
      <c r="D381" s="4" t="s">
        <f>ROUND(((F381-B381)-C381/60)*3600,0)</f>
        <v>144</v>
      </c>
      <c r="E381" s="4" t="s">
        <f>F381</f>
        <v>301</v>
      </c>
      <c r="F381" s="4" t="s">
        <f>I381+J381/60+K381/3600-(H381+G381)/3600</f>
        <v>301</v>
      </c>
      <c r="H381">
        <v>-1</v>
      </c>
      <c r="I381" s="4" t="s">
        <f>IF(I377&lt;180,I377+180,I377-180)</f>
        <v>300</v>
      </c>
      <c r="J381" s="4" t="s">
        <f>J377</f>
        <v>212</v>
      </c>
      <c r="K381" s="4" t="s">
        <f>K377</f>
        <v>174</v>
      </c>
    </row>
    <row r="382">
      <c r="B382" t="s">
        <f>TRUNC(F382,0)</f>
        <v>296</v>
      </c>
      <c r="C382" t="s">
        <f>TRUNC((F382-B382)*60,0)</f>
        <v>212</v>
      </c>
      <c r="D382" s="4" t="s">
        <f>ROUND(((F382-B382)-C382/60)*3600,0)</f>
        <v>174</v>
      </c>
      <c r="E382" s="4" t="s">
        <f>E381-(B383+C383/60+D383/3600)</f>
        <v>302</v>
      </c>
      <c r="F382" s="4" t="s">
        <f>IF(E382&gt;0,E382,E382+360)</f>
        <v>297</v>
      </c>
    </row>
    <row r="383">
      <c r="B383">
        <v>180</v>
      </c>
      <c r="C383">
        <v>0</v>
      </c>
      <c r="D383" s="4">
        <v>1</v>
      </c>
    </row>
    <row r="384"/>
    <row r="385">
      <c r="A385" t="s">
        <f>TRVS!A58</f>
        <v>94</v>
      </c>
      <c r="B385" t="s">
        <f>TRUNC(F385,0)</f>
        <v>303</v>
      </c>
      <c r="C385" t="s">
        <f>TRUNC((F385-B385)*60,0)</f>
        <v>142</v>
      </c>
      <c r="D385" s="4" t="s">
        <f>ROUND(((F385-B385)-C385/60)*3600,0)</f>
        <v>262</v>
      </c>
      <c r="E385" s="4" t="s">
        <f>F385</f>
        <v>304</v>
      </c>
      <c r="F385" s="4" t="s">
        <f>I385+J385/60+K385/3600-(H385+G385)/3600</f>
        <v>304</v>
      </c>
      <c r="G385" t="s">
        <f>ROUND(((B383+C383/60+D383/3600)-(B387+C387/60+D387/3600))/2*3600,0)</f>
        <v>208</v>
      </c>
      <c r="H385" t="s">
        <f>H381</f>
        <v>195</v>
      </c>
      <c r="I385" s="4" t="s">
        <f>TRVS!B58</f>
        <v>303</v>
      </c>
      <c r="J385" s="4" t="s">
        <f>TRVS!C58</f>
        <v>142</v>
      </c>
      <c r="K385" s="4" t="s">
        <f>TRVS!D58</f>
        <v>262</v>
      </c>
      <c r="L385" t="s">
        <f>L380</f>
        <v>93</v>
      </c>
      <c r="M385" s="5" t="s">
        <f>TRVS!L58</f>
        <v>305</v>
      </c>
      <c r="N385" t="s">
        <f>A385</f>
        <v>94</v>
      </c>
      <c r="O385" s="3" t="s">
        <f>M385/$M$6</f>
        <v>306</v>
      </c>
    </row>
    <row r="386">
      <c r="B386" t="s">
        <f>TRUNC(F386,0)</f>
        <v>307</v>
      </c>
      <c r="C386" t="s">
        <f>TRUNC((F386-B386)*60,0)</f>
        <v>142</v>
      </c>
      <c r="D386" s="4" t="s">
        <f>ROUND(((F386-B386)-C386/60)*3600,0)</f>
        <v>134</v>
      </c>
      <c r="E386" s="4" t="s">
        <f>E385-(B387+C387/60+D387/3600)</f>
        <v>308</v>
      </c>
      <c r="F386" s="4" t="s">
        <f>IF(E386&gt;0,E386,E386+360)</f>
        <v>308</v>
      </c>
    </row>
    <row r="387">
      <c r="B387">
        <v>179</v>
      </c>
      <c r="C387">
        <v>59</v>
      </c>
      <c r="D387" s="4">
        <v>58</v>
      </c>
    </row>
    <row r="388">
      <c r="K388" t="s">
        <v>167</v>
      </c>
      <c r="L388" t="s">
        <f>A385</f>
        <v>94</v>
      </c>
    </row>
    <row r="389">
      <c r="A389" t="s">
        <f>L380</f>
        <v>93</v>
      </c>
      <c r="B389" t="s">
        <f>TRUNC(F389,0)</f>
        <v>307</v>
      </c>
      <c r="C389" t="s">
        <f>TRUNC((F389-B389)*60,0)</f>
        <v>142</v>
      </c>
      <c r="D389" s="4" t="s">
        <f>ROUND(((F389-B389)-C389/60)*3600,0)</f>
        <v>262</v>
      </c>
      <c r="E389" s="4" t="s">
        <f>F389</f>
        <v>308</v>
      </c>
      <c r="F389" s="4" t="s">
        <f>I389+J389/60+K389/3600-(H389+G389)/3600</f>
        <v>308</v>
      </c>
      <c r="H389">
        <v>0</v>
      </c>
      <c r="I389" s="4" t="s">
        <f>IF(I385&lt;180,I385+180,I385-180)</f>
        <v>307</v>
      </c>
      <c r="J389" s="4" t="s">
        <f>J385</f>
        <v>142</v>
      </c>
      <c r="K389" s="4" t="s">
        <f>K385</f>
        <v>262</v>
      </c>
    </row>
    <row r="390">
      <c r="B390" t="s">
        <f>TRUNC(F390,0)</f>
        <v>303</v>
      </c>
      <c r="C390" t="s">
        <f>TRUNC((F390-B390)*60,0)</f>
        <v>142</v>
      </c>
      <c r="D390" s="4" t="s">
        <f>ROUND(((F390-B390)-C390/60)*3600,0)</f>
        <v>217</v>
      </c>
      <c r="E390" s="4" t="s">
        <f>E389-(B391+C391/60+D391/3600)</f>
        <v>309</v>
      </c>
      <c r="F390" s="4" t="s">
        <f>IF(E390&gt;0,E390,E390+360)</f>
        <v>304</v>
      </c>
    </row>
    <row r="391">
      <c r="B391">
        <v>180</v>
      </c>
      <c r="C391">
        <v>0</v>
      </c>
      <c r="D391" s="4">
        <v>5</v>
      </c>
    </row>
    <row r="392"/>
    <row r="393">
      <c r="A393" t="s">
        <f>TRVS!A59</f>
        <v>95</v>
      </c>
      <c r="B393" t="s">
        <f>TRUNC(F393,0)</f>
        <v>310</v>
      </c>
      <c r="C393" t="s">
        <f>TRUNC((F393-B393)*60,0)</f>
        <v>179</v>
      </c>
      <c r="D393" s="4" t="s">
        <f>ROUND(((F393-B393)-C393/60)*3600,0)</f>
        <v>202</v>
      </c>
      <c r="E393" s="4" t="s">
        <f>F393</f>
        <v>311</v>
      </c>
      <c r="F393" s="4" t="s">
        <f>I393+J393/60+K393/3600-(H393+G393)/3600</f>
        <v>311</v>
      </c>
      <c r="G393" t="s">
        <f>ROUND(((B391+C391/60+D391/3600)-(B395+C395/60+D395/3600))/2*3600,0)</f>
        <v>312</v>
      </c>
      <c r="H393" t="s">
        <f>H389</f>
        <v>172</v>
      </c>
      <c r="I393" s="4" t="s">
        <f>TRVS!B59</f>
        <v>310</v>
      </c>
      <c r="J393" s="4" t="s">
        <f>TRVS!C59</f>
        <v>179</v>
      </c>
      <c r="K393" s="4" t="s">
        <f>TRVS!D59</f>
        <v>135</v>
      </c>
      <c r="L393" t="s">
        <f>L388</f>
        <v>94</v>
      </c>
      <c r="M393" s="5" t="s">
        <f>TRVS!L59</f>
        <v>313</v>
      </c>
      <c r="N393" t="s">
        <f>A393</f>
        <v>95</v>
      </c>
      <c r="O393" s="3" t="s">
        <f>M393/$M$6</f>
        <v>314</v>
      </c>
    </row>
    <row r="394">
      <c r="B394" t="s">
        <f>TRUNC(F394,0)</f>
        <v>315</v>
      </c>
      <c r="C394" t="s">
        <f>TRUNC((F394-B394)*60,0)</f>
        <v>179</v>
      </c>
      <c r="D394" s="4" t="s">
        <f>ROUND(((F394-B394)-C394/60)*3600,0)</f>
        <v>159</v>
      </c>
      <c r="E394" s="4" t="s">
        <f>E393-(B395+C395/60+D395/3600)</f>
        <v>316</v>
      </c>
      <c r="F394" s="4" t="s">
        <f>IF(E394&gt;0,E394,E394+360)</f>
        <v>316</v>
      </c>
    </row>
    <row r="395">
      <c r="B395">
        <v>179</v>
      </c>
      <c r="C395">
        <v>59</v>
      </c>
      <c r="D395" s="4">
        <v>58</v>
      </c>
    </row>
    <row r="396">
      <c r="K396" t="s">
        <v>167</v>
      </c>
      <c r="L396" t="s">
        <f>A393</f>
        <v>95</v>
      </c>
    </row>
    <row r="397">
      <c r="A397" t="s">
        <f>L388</f>
        <v>94</v>
      </c>
      <c r="B397" t="s">
        <f>TRUNC(F397,0)</f>
        <v>315</v>
      </c>
      <c r="C397" t="s">
        <f>TRUNC((F397-B397)*60,0)</f>
        <v>179</v>
      </c>
      <c r="D397" s="4" t="s">
        <f>ROUND(((F397-B397)-C397/60)*3600,0)</f>
        <v>169</v>
      </c>
      <c r="E397" s="4" t="s">
        <f>F397</f>
        <v>316</v>
      </c>
      <c r="F397" s="4" t="s">
        <f>I397+J397/60+K397/3600-(H397+G397)/3600</f>
        <v>316</v>
      </c>
      <c r="H397">
        <v>1</v>
      </c>
      <c r="I397" s="4" t="s">
        <f>IF(I393&lt;180,I393+180,I393-180)</f>
        <v>315</v>
      </c>
      <c r="J397" s="4" t="s">
        <f>J393</f>
        <v>179</v>
      </c>
      <c r="K397" s="4" t="s">
        <f>K393</f>
        <v>135</v>
      </c>
    </row>
    <row r="398">
      <c r="B398" t="s">
        <f>TRUNC(F398,0)</f>
        <v>310</v>
      </c>
      <c r="C398" t="s">
        <f>TRUNC((F398-B398)*60,0)</f>
        <v>179</v>
      </c>
      <c r="D398" s="4" t="s">
        <f>ROUND(((F398-B398)-C398/60)*3600,0)</f>
        <v>159</v>
      </c>
      <c r="E398" s="4" t="s">
        <f>E397-(B399+C399/60+D399/3600)</f>
        <v>317</v>
      </c>
      <c r="F398" s="4" t="s">
        <f>IF(E398&gt;0,E398,E398+360)</f>
        <v>311</v>
      </c>
    </row>
    <row r="399">
      <c r="B399">
        <v>180</v>
      </c>
      <c r="C399">
        <v>0</v>
      </c>
      <c r="D399" s="4">
        <v>1</v>
      </c>
    </row>
    <row r="400"/>
    <row r="401">
      <c r="A401" t="s">
        <f>TRVS!A60</f>
        <v>96</v>
      </c>
      <c r="B401" t="s">
        <f>TRUNC(F401,0)</f>
        <v>250</v>
      </c>
      <c r="C401" t="s">
        <f>TRUNC((F401-B401)*60,0)</f>
        <v>291</v>
      </c>
      <c r="D401" s="4" t="s">
        <f>ROUND(((F401-B401)-C401/60)*3600,0)</f>
        <v>193</v>
      </c>
      <c r="E401" s="4" t="s">
        <f>F401</f>
        <v>250</v>
      </c>
      <c r="F401" s="4" t="s">
        <f>I401+J401/60+K401/3600-(H401+G401)/3600</f>
        <v>250</v>
      </c>
      <c r="G401" t="s">
        <f>ROUND(((B399+C399/60+D399/3600)-(B403+C403/60+D403/3600))/2*3600,0)</f>
        <v>208</v>
      </c>
      <c r="H401" t="s">
        <f>H397</f>
        <v>208</v>
      </c>
      <c r="I401" s="4" t="s">
        <f>TRVS!B60</f>
        <v>250</v>
      </c>
      <c r="J401" s="4" t="s">
        <f>TRVS!C60</f>
        <v>260</v>
      </c>
      <c r="K401" s="4" t="s">
        <f>TRVS!D60</f>
        <v>172</v>
      </c>
      <c r="L401" t="s">
        <f>L396</f>
        <v>95</v>
      </c>
      <c r="M401" s="5" t="s">
        <f>TRVS!L60</f>
        <v>318</v>
      </c>
      <c r="N401" t="s">
        <f>A401</f>
        <v>96</v>
      </c>
      <c r="O401" s="3" t="s">
        <f>M401/$M$6</f>
        <v>319</v>
      </c>
    </row>
    <row r="402">
      <c r="B402" t="s">
        <f>TRUNC(F402,0)</f>
        <v>246</v>
      </c>
      <c r="C402" t="s">
        <f>TRUNC((F402-B402)*60,0)</f>
        <v>291</v>
      </c>
      <c r="D402" s="4" t="s">
        <f>ROUND(((F402-B402)-C402/60)*3600,0)</f>
        <v>158</v>
      </c>
      <c r="E402" s="4" t="s">
        <f>E401-(B403+C403/60+D403/3600)</f>
        <v>252</v>
      </c>
      <c r="F402" s="4" t="s">
        <f>IF(E402&gt;0,E402,E402+360)</f>
        <v>246</v>
      </c>
    </row>
    <row r="403">
      <c r="B403">
        <v>179</v>
      </c>
      <c r="C403">
        <v>59</v>
      </c>
      <c r="D403" s="4">
        <v>58</v>
      </c>
    </row>
    <row r="404">
      <c r="K404" t="s">
        <v>167</v>
      </c>
      <c r="L404" t="s">
        <f>A401</f>
        <v>96</v>
      </c>
    </row>
    <row r="405">
      <c r="A405" t="s">
        <f>L396</f>
        <v>95</v>
      </c>
      <c r="B405" t="s">
        <f>TRUNC(F405,0)</f>
        <v>246</v>
      </c>
      <c r="C405" t="s">
        <f>TRUNC((F405-B405)*60,0)</f>
        <v>291</v>
      </c>
      <c r="D405" s="4" t="s">
        <f>ROUND(((F405-B405)-C405/60)*3600,0)</f>
        <v>320</v>
      </c>
      <c r="E405" s="4" t="s">
        <f>F405</f>
        <v>246</v>
      </c>
      <c r="F405" s="4" t="s">
        <f>I405+J405/60+K405/3600-(H405+G405)/3600</f>
        <v>246</v>
      </c>
      <c r="H405">
        <v>1</v>
      </c>
      <c r="I405" s="4" t="s">
        <f>IF(I401&lt;180,I401+180,I401-180)</f>
        <v>246</v>
      </c>
      <c r="J405" s="4" t="s">
        <f>J401</f>
        <v>260</v>
      </c>
      <c r="K405" s="4" t="s">
        <f>K401</f>
        <v>172</v>
      </c>
    </row>
    <row r="406">
      <c r="B406" t="s">
        <f>TRUNC(F406,0)</f>
        <v>250</v>
      </c>
      <c r="C406" t="s">
        <f>TRUNC((F406-B406)*60,0)</f>
        <v>291</v>
      </c>
      <c r="D406" s="4" t="s">
        <f>ROUND(((F406-B406)-C406/60)*3600,0)</f>
        <v>193</v>
      </c>
      <c r="E406" s="4" t="s">
        <f>E405-(B407+C407/60+D407/3600)</f>
        <v>250</v>
      </c>
      <c r="F406" s="4" t="s">
        <f>IF(E406&gt;0,E406,E406+360)</f>
        <v>250</v>
      </c>
    </row>
    <row r="407">
      <c r="B407">
        <v>180</v>
      </c>
      <c r="C407">
        <v>0</v>
      </c>
      <c r="D407" s="4">
        <v>1</v>
      </c>
    </row>
    <row r="408"/>
    <row r="409">
      <c r="A409" t="s">
        <f>TRVS!A61</f>
        <v>97</v>
      </c>
      <c r="B409" t="s">
        <f>TRUNC(F409,0)</f>
        <v>174</v>
      </c>
      <c r="C409" t="s">
        <f>TRUNC((F409-B409)*60,0)</f>
        <v>321</v>
      </c>
      <c r="D409" s="4" t="s">
        <f>ROUND(((F409-B409)-C409/60)*3600,0)</f>
        <v>219</v>
      </c>
      <c r="E409" s="4" t="s">
        <f>F409</f>
        <v>144</v>
      </c>
      <c r="F409" s="4" t="s">
        <f>I409+J409/60+K409/3600-(H409+G409)/3600</f>
        <v>144</v>
      </c>
      <c r="G409" t="s">
        <f>ROUND(((B407+C407/60+D407/3600)-(B411+C411/60+D411/3600))/2*3600,0)</f>
        <v>208</v>
      </c>
      <c r="H409" t="s">
        <f>H405</f>
        <v>208</v>
      </c>
      <c r="I409" s="4" t="s">
        <f>TRVS!B61</f>
        <v>174</v>
      </c>
      <c r="J409" s="4" t="s">
        <f>TRVS!C61</f>
        <v>321</v>
      </c>
      <c r="K409" s="4" t="s">
        <f>TRVS!D61</f>
        <v>199</v>
      </c>
      <c r="L409" t="s">
        <f>L404</f>
        <v>96</v>
      </c>
      <c r="M409" s="5" t="s">
        <f>TRVS!L61</f>
        <v>322</v>
      </c>
      <c r="N409" t="s">
        <f>A409</f>
        <v>97</v>
      </c>
      <c r="O409" s="3" t="s">
        <f>M409/$M$6</f>
        <v>323</v>
      </c>
    </row>
    <row r="410">
      <c r="B410" t="s">
        <f>TRUNC(F410,0)</f>
        <v>324</v>
      </c>
      <c r="C410" t="s">
        <f>TRUNC((F410-B410)*60,0)</f>
        <v>321</v>
      </c>
      <c r="D410" s="4" t="s">
        <f>ROUND(((F410-B410)-C410/60)*3600,0)</f>
        <v>199</v>
      </c>
      <c r="E410" s="4" t="s">
        <f>E409-(B411+C411/60+D411/3600)</f>
        <v>325</v>
      </c>
      <c r="F410" s="4" t="s">
        <f>IF(E410&gt;0,E410,E410+360)</f>
        <v>232</v>
      </c>
    </row>
    <row r="411">
      <c r="B411">
        <v>179</v>
      </c>
      <c r="C411">
        <v>59</v>
      </c>
      <c r="D411" s="4">
        <v>58</v>
      </c>
    </row>
    <row r="412">
      <c r="K412" t="s">
        <v>167</v>
      </c>
      <c r="L412" t="s">
        <f>A409</f>
        <v>97</v>
      </c>
    </row>
    <row r="413">
      <c r="A413" t="s">
        <f>L404</f>
        <v>96</v>
      </c>
      <c r="B413" t="s">
        <f>TRUNC(F413,0)</f>
        <v>324</v>
      </c>
      <c r="C413" t="s">
        <f>TRUNC((F413-B413)*60,0)</f>
        <v>321</v>
      </c>
      <c r="D413" s="4" t="s">
        <f>ROUND(((F413-B413)-C413/60)*3600,0)</f>
        <v>223</v>
      </c>
      <c r="E413" s="4" t="s">
        <f>F413</f>
        <v>232</v>
      </c>
      <c r="F413" s="4" t="s">
        <f>I413+J413/60+K413/3600-(H413+G413)/3600</f>
        <v>232</v>
      </c>
      <c r="H413">
        <v>1</v>
      </c>
      <c r="I413" s="4" t="s">
        <f>IF(I409&lt;180,I409+180,I409-180)</f>
        <v>324</v>
      </c>
      <c r="J413" s="4" t="s">
        <f>J409</f>
        <v>321</v>
      </c>
      <c r="K413" s="4" t="s">
        <f>K409</f>
        <v>199</v>
      </c>
    </row>
    <row r="414">
      <c r="B414" t="s">
        <f>TRUNC(F414,0)</f>
        <v>174</v>
      </c>
      <c r="C414" t="s">
        <f>TRUNC((F414-B414)*60,0)</f>
        <v>321</v>
      </c>
      <c r="D414" s="4" t="s">
        <f>ROUND(((F414-B414)-C414/60)*3600,0)</f>
        <v>219</v>
      </c>
      <c r="E414" s="4" t="s">
        <f>E413-(B415+C415/60+D415/3600)</f>
        <v>144</v>
      </c>
      <c r="F414" s="4" t="s">
        <f>IF(E414&gt;0,E414,E414+360)</f>
        <v>144</v>
      </c>
    </row>
    <row r="415">
      <c r="B415">
        <v>180</v>
      </c>
      <c r="C415">
        <v>0</v>
      </c>
      <c r="D415" s="4">
        <v>1</v>
      </c>
    </row>
    <row r="416"/>
    <row r="417">
      <c r="A417" t="s">
        <f>TRVS!A62</f>
        <v>98</v>
      </c>
      <c r="B417" t="s">
        <f>TRUNC(F417,0)</f>
        <v>326</v>
      </c>
      <c r="C417" t="s">
        <f>TRUNC((F417-B417)*60,0)</f>
        <v>213</v>
      </c>
      <c r="D417" s="4" t="s">
        <f>ROUND(((F417-B417)-C417/60)*3600,0)</f>
        <v>205</v>
      </c>
      <c r="E417" s="4" t="s">
        <f>F417</f>
        <v>327</v>
      </c>
      <c r="F417" s="4" t="s">
        <f>I417+J417/60+K417/3600-(H417+G417)/3600</f>
        <v>327</v>
      </c>
      <c r="G417" t="s">
        <f>ROUND(((B415+C415/60+D415/3600)-(B419+C419/60+D419/3600))/2*3600,0)</f>
        <v>207</v>
      </c>
      <c r="H417" t="s">
        <f>H413</f>
        <v>208</v>
      </c>
      <c r="I417" s="4" t="s">
        <f>TRVS!B62</f>
        <v>326</v>
      </c>
      <c r="J417" s="4" t="s">
        <f>TRVS!C62</f>
        <v>213</v>
      </c>
      <c r="K417" s="4" t="s">
        <f>TRVS!D62</f>
        <v>241</v>
      </c>
      <c r="L417" t="s">
        <f>L412</f>
        <v>97</v>
      </c>
      <c r="M417" s="5" t="s">
        <f>TRVS!L62</f>
        <v>328</v>
      </c>
      <c r="N417" t="s">
        <f>A417</f>
        <v>98</v>
      </c>
      <c r="O417" s="3" t="s">
        <f>M417/$M$6</f>
        <v>329</v>
      </c>
    </row>
    <row r="418">
      <c r="B418" t="s">
        <f>TRUNC(F418,0)</f>
        <v>330</v>
      </c>
      <c r="C418" t="s">
        <f>TRUNC((F418-B418)*60,0)</f>
        <v>213</v>
      </c>
      <c r="D418" s="4" t="s">
        <f>ROUND(((F418-B418)-C418/60)*3600,0)</f>
        <v>212</v>
      </c>
      <c r="E418" s="4" t="s">
        <f>E417-(B419+C419/60+D419/3600)</f>
        <v>331</v>
      </c>
      <c r="F418" s="4" t="s">
        <f>IF(E418&gt;0,E418,E418+360)</f>
        <v>332</v>
      </c>
    </row>
    <row r="419">
      <c r="B419">
        <v>180</v>
      </c>
      <c r="C419">
        <v>0</v>
      </c>
      <c r="D419" s="4">
        <v>7</v>
      </c>
    </row>
    <row r="420">
      <c r="K420" t="s">
        <v>167</v>
      </c>
      <c r="L420" t="s">
        <f>A417</f>
        <v>98</v>
      </c>
    </row>
    <row r="421">
      <c r="A421" t="s">
        <f>L412</f>
        <v>97</v>
      </c>
      <c r="B421" t="s">
        <f>TRUNC(F421,0)</f>
        <v>330</v>
      </c>
      <c r="C421" t="s">
        <f>TRUNC((F421-B421)*60,0)</f>
        <v>213</v>
      </c>
      <c r="D421" s="4" t="s">
        <f>ROUND(((F421-B421)-C421/60)*3600,0)</f>
        <v>321</v>
      </c>
      <c r="E421" s="4" t="s">
        <f>F421</f>
        <v>332</v>
      </c>
      <c r="F421" s="4" t="s">
        <f>I421+J421/60+K421/3600-(H421+G421)/3600</f>
        <v>332</v>
      </c>
      <c r="H421">
        <v>-1</v>
      </c>
      <c r="I421" s="4" t="s">
        <f>IF(I417&lt;180,I417+180,I417-180)</f>
        <v>330</v>
      </c>
      <c r="J421" s="4" t="s">
        <f>J417</f>
        <v>213</v>
      </c>
      <c r="K421" s="4" t="s">
        <f>K417</f>
        <v>241</v>
      </c>
    </row>
    <row r="422">
      <c r="B422" t="s">
        <f>TRUNC(F422,0)</f>
        <v>326</v>
      </c>
      <c r="C422" t="s">
        <f>TRUNC((F422-B422)*60,0)</f>
        <v>213</v>
      </c>
      <c r="D422" s="4" t="s">
        <f>ROUND(((F422-B422)-C422/60)*3600,0)</f>
        <v>241</v>
      </c>
      <c r="E422" s="4" t="s">
        <f>E421-(B423+C423/60+D423/3600)</f>
        <v>327</v>
      </c>
      <c r="F422" s="4" t="s">
        <f>IF(E422&gt;0,E422,E422+360)</f>
        <v>327</v>
      </c>
    </row>
    <row r="423">
      <c r="B423">
        <v>180</v>
      </c>
      <c r="C423">
        <v>0</v>
      </c>
      <c r="D423" s="4">
        <v>1</v>
      </c>
    </row>
    <row r="424"/>
    <row r="425">
      <c r="A425" t="s">
        <f>TRVS!A63</f>
        <v>99</v>
      </c>
      <c r="B425" t="s">
        <f>TRUNC(F425,0)</f>
        <v>333</v>
      </c>
      <c r="C425" t="s">
        <f>TRUNC((F425-B425)*60,0)</f>
        <v>233</v>
      </c>
      <c r="D425" s="4" t="s">
        <f>ROUND(((F425-B425)-C425/60)*3600,0)</f>
        <v>159</v>
      </c>
      <c r="E425" s="4" t="s">
        <f>F425</f>
        <v>333</v>
      </c>
      <c r="F425" s="4" t="s">
        <f>I425+J425/60+K425/3600-(H425+G425)/3600</f>
        <v>333</v>
      </c>
      <c r="G425" t="s">
        <f>ROUND(((B423+C423/60+D423/3600)-(B427+C427/60+D427/3600))/2*3600,0)</f>
        <v>181</v>
      </c>
      <c r="H425" t="s">
        <f>H421</f>
        <v>195</v>
      </c>
      <c r="I425" s="4" t="s">
        <f>TRVS!B63</f>
        <v>333</v>
      </c>
      <c r="J425" s="4" t="s">
        <f>TRVS!C63</f>
        <v>233</v>
      </c>
      <c r="K425" s="4" t="s">
        <f>TRVS!D63</f>
        <v>135</v>
      </c>
      <c r="L425" t="s">
        <f>L420</f>
        <v>98</v>
      </c>
      <c r="M425" s="5" t="s">
        <f>TRVS!L63</f>
        <v>334</v>
      </c>
      <c r="N425" t="s">
        <f>A425</f>
        <v>99</v>
      </c>
      <c r="O425" s="3" t="s">
        <f>M425/$M$6</f>
        <v>335</v>
      </c>
    </row>
    <row r="426">
      <c r="B426" t="s">
        <f>TRUNC(F426,0)</f>
        <v>336</v>
      </c>
      <c r="C426" t="s">
        <f>TRUNC((F426-B426)*60,0)</f>
        <v>233</v>
      </c>
      <c r="D426" s="4" t="s">
        <f>ROUND(((F426-B426)-C426/60)*3600,0)</f>
        <v>337</v>
      </c>
      <c r="E426" s="4" t="s">
        <f>E425-(B427+C427/60+D427/3600)</f>
        <v>338</v>
      </c>
      <c r="F426" s="4" t="s">
        <f>IF(E426&gt;0,E426,E426+360)</f>
        <v>336</v>
      </c>
    </row>
    <row r="427">
      <c r="B427">
        <v>179</v>
      </c>
      <c r="C427">
        <v>59</v>
      </c>
      <c r="D427" s="4">
        <v>56</v>
      </c>
    </row>
    <row r="428">
      <c r="K428" t="s">
        <v>167</v>
      </c>
      <c r="L428" t="s">
        <f>A425</f>
        <v>99</v>
      </c>
    </row>
    <row r="429">
      <c r="A429" t="s">
        <f>L420</f>
        <v>98</v>
      </c>
      <c r="B429" t="s">
        <f>TRUNC(F429,0)</f>
        <v>336</v>
      </c>
      <c r="C429" t="s">
        <f>TRUNC((F429-B429)*60,0)</f>
        <v>233</v>
      </c>
      <c r="D429" s="4" t="s">
        <f>ROUND(((F429-B429)-C429/60)*3600,0)</f>
        <v>217</v>
      </c>
      <c r="E429" s="4" t="s">
        <f>F429</f>
        <v>336</v>
      </c>
      <c r="F429" s="4" t="s">
        <f>I429+J429/60+K429/3600-(H429+G429)/3600</f>
        <v>336</v>
      </c>
      <c r="H429">
        <v>-1</v>
      </c>
      <c r="I429" s="4" t="s">
        <f>IF(I425&lt;180,I425+180,I425-180)</f>
        <v>336</v>
      </c>
      <c r="J429" s="4" t="s">
        <f>J425</f>
        <v>233</v>
      </c>
      <c r="K429" s="4" t="s">
        <f>K425</f>
        <v>135</v>
      </c>
    </row>
    <row r="430">
      <c r="B430" t="s">
        <f>TRUNC(F430,0)</f>
        <v>333</v>
      </c>
      <c r="C430" t="s">
        <f>TRUNC((F430-B430)*60,0)</f>
        <v>233</v>
      </c>
      <c r="D430" s="4" t="s">
        <f>ROUND(((F430-B430)-C430/60)*3600,0)</f>
        <v>135</v>
      </c>
      <c r="E430" s="4" t="s">
        <f>E429-(B431+C431/60+D431/3600)</f>
        <v>333</v>
      </c>
      <c r="F430" s="4" t="s">
        <f>IF(E430&gt;0,E430,E430+360)</f>
        <v>333</v>
      </c>
    </row>
    <row r="431">
      <c r="B431">
        <v>180</v>
      </c>
      <c r="C431">
        <v>0</v>
      </c>
      <c r="D431" s="4">
        <v>1</v>
      </c>
    </row>
    <row r="432"/>
    <row r="433">
      <c r="A433" t="s">
        <f>TRVS!A64</f>
        <v>100</v>
      </c>
      <c r="B433" t="s">
        <f>TRUNC(F433,0)</f>
        <v>333</v>
      </c>
      <c r="C433" t="s">
        <f>TRUNC((F433-B433)*60,0)</f>
        <v>194</v>
      </c>
      <c r="D433" s="4" t="s">
        <f>ROUND(((F433-B433)-C433/60)*3600,0)</f>
        <v>186</v>
      </c>
      <c r="E433" s="4" t="s">
        <f>F433</f>
        <v>333</v>
      </c>
      <c r="F433" s="4" t="s">
        <f>I433+J433/60+K433/3600-(H433+G433)/3600</f>
        <v>333</v>
      </c>
      <c r="G433" t="s">
        <f>ROUND(((B431+C431/60+D431/3600)-(B435+C435/60+D435/3600))/2*3600,0)</f>
        <v>208</v>
      </c>
      <c r="H433" t="s">
        <f>H429</f>
        <v>195</v>
      </c>
      <c r="I433" s="4" t="s">
        <f>TRVS!B64</f>
        <v>333</v>
      </c>
      <c r="J433" s="4" t="s">
        <f>TRVS!C64</f>
        <v>194</v>
      </c>
      <c r="K433" s="4" t="s">
        <f>TRVS!D64</f>
        <v>186</v>
      </c>
      <c r="L433" t="s">
        <f>L428</f>
        <v>99</v>
      </c>
      <c r="M433" s="5" t="s">
        <f>TRVS!L64</f>
        <v>339</v>
      </c>
      <c r="N433" t="s">
        <f>A433</f>
        <v>100</v>
      </c>
      <c r="O433" s="3" t="s">
        <f>M433/$M$6</f>
        <v>340</v>
      </c>
    </row>
    <row r="434">
      <c r="B434" t="s">
        <f>TRUNC(F434,0)</f>
        <v>336</v>
      </c>
      <c r="C434" t="s">
        <f>TRUNC((F434-B434)*60,0)</f>
        <v>194</v>
      </c>
      <c r="D434" s="4" t="s">
        <f>ROUND(((F434-B434)-C434/60)*3600,0)</f>
        <v>312</v>
      </c>
      <c r="E434" s="4" t="s">
        <f>E433-(B435+C435/60+D435/3600)</f>
        <v>338</v>
      </c>
      <c r="F434" s="4" t="s">
        <f>IF(E434&gt;0,E434,E434+360)</f>
        <v>336</v>
      </c>
    </row>
    <row r="435">
      <c r="B435">
        <v>179</v>
      </c>
      <c r="C435">
        <v>59</v>
      </c>
      <c r="D435" s="4">
        <v>58</v>
      </c>
    </row>
    <row r="436">
      <c r="K436" t="s">
        <v>167</v>
      </c>
      <c r="L436" t="s">
        <f>A433</f>
        <v>100</v>
      </c>
    </row>
    <row r="437">
      <c r="A437" t="s">
        <f>L428</f>
        <v>99</v>
      </c>
      <c r="B437" t="s">
        <f>TRUNC(F437,0)</f>
        <v>336</v>
      </c>
      <c r="C437" t="s">
        <f>TRUNC((F437-B437)*60,0)</f>
        <v>194</v>
      </c>
      <c r="D437" s="4" t="s">
        <f>ROUND(((F437-B437)-C437/60)*3600,0)</f>
        <v>181</v>
      </c>
      <c r="E437" s="4" t="s">
        <f>F437</f>
        <v>336</v>
      </c>
      <c r="F437" s="4" t="s">
        <f>I437+J437/60+K437/3600-(H437+G437)/3600</f>
        <v>336</v>
      </c>
      <c r="H437">
        <v>-1</v>
      </c>
      <c r="I437" s="4" t="s">
        <f>IF(I433&lt;180,I433+180,I433-180)</f>
        <v>336</v>
      </c>
      <c r="J437" s="4" t="s">
        <f>J433</f>
        <v>194</v>
      </c>
      <c r="K437" s="4" t="s">
        <f>K433</f>
        <v>186</v>
      </c>
    </row>
    <row r="438">
      <c r="B438" t="s">
        <f>TRUNC(F438,0)</f>
        <v>333</v>
      </c>
      <c r="C438" t="s">
        <f>TRUNC((F438-B438)*60,0)</f>
        <v>194</v>
      </c>
      <c r="D438" s="4" t="s">
        <f>ROUND(((F438-B438)-C438/60)*3600,0)</f>
        <v>186</v>
      </c>
      <c r="E438" s="4" t="s">
        <f>E437-(B439+C439/60+D439/3600)</f>
        <v>333</v>
      </c>
      <c r="F438" s="4" t="s">
        <f>IF(E438&gt;0,E438,E438+360)</f>
        <v>333</v>
      </c>
    </row>
    <row r="439">
      <c r="B439">
        <v>180</v>
      </c>
      <c r="C439">
        <v>0</v>
      </c>
      <c r="D439" s="4">
        <v>1</v>
      </c>
    </row>
    <row r="440"/>
    <row r="441">
      <c r="A441" t="s">
        <f>TRVS!A65</f>
        <v>101</v>
      </c>
      <c r="B441" t="s">
        <f>TRUNC(F441,0)</f>
        <v>333</v>
      </c>
      <c r="C441" t="s">
        <f>TRUNC((F441-B441)*60,0)</f>
        <v>174</v>
      </c>
      <c r="D441" s="4" t="s">
        <f>ROUND(((F441-B441)-C441/60)*3600,0)</f>
        <v>169</v>
      </c>
      <c r="E441" s="4" t="s">
        <f>F441</f>
        <v>341</v>
      </c>
      <c r="F441" s="4" t="s">
        <f>I441+J441/60+K441/3600-(H441+G441)/3600</f>
        <v>341</v>
      </c>
      <c r="G441" t="s">
        <f>ROUND(((B439+C439/60+D439/3600)-(B443+C443/60+D443/3600))/2*3600,0)</f>
        <v>208</v>
      </c>
      <c r="H441" t="s">
        <f>H437</f>
        <v>195</v>
      </c>
      <c r="I441" s="4" t="s">
        <f>TRVS!B65</f>
        <v>333</v>
      </c>
      <c r="J441" s="4" t="s">
        <f>TRVS!C65</f>
        <v>174</v>
      </c>
      <c r="K441" s="4" t="s">
        <f>TRVS!D65</f>
        <v>169</v>
      </c>
      <c r="L441" t="s">
        <f>L436</f>
        <v>100</v>
      </c>
      <c r="M441" s="5" t="s">
        <f>TRVS!L65</f>
        <v>342</v>
      </c>
      <c r="N441" t="s">
        <f>A441</f>
        <v>101</v>
      </c>
      <c r="O441" s="3" t="s">
        <f>M441/$M$6</f>
        <v>343</v>
      </c>
    </row>
    <row r="442">
      <c r="B442" t="s">
        <f>TRUNC(F442,0)</f>
        <v>336</v>
      </c>
      <c r="C442" t="s">
        <f>TRUNC((F442-B442)*60,0)</f>
        <v>174</v>
      </c>
      <c r="D442" s="4" t="s">
        <f>ROUND(((F442-B442)-C442/60)*3600,0)</f>
        <v>217</v>
      </c>
      <c r="E442" s="4" t="s">
        <f>E441-(B443+C443/60+D443/3600)</f>
        <v>344</v>
      </c>
      <c r="F442" s="4" t="s">
        <f>IF(E442&gt;0,E442,E442+360)</f>
        <v>345</v>
      </c>
    </row>
    <row r="443">
      <c r="B443">
        <v>179</v>
      </c>
      <c r="C443">
        <v>59</v>
      </c>
      <c r="D443" s="4">
        <v>58</v>
      </c>
    </row>
    <row r="444">
      <c r="K444" t="s">
        <v>167</v>
      </c>
      <c r="L444" t="s">
        <f>A441</f>
        <v>101</v>
      </c>
    </row>
    <row r="445">
      <c r="A445" t="s">
        <f>L436</f>
        <v>100</v>
      </c>
      <c r="B445" t="s">
        <f>TRUNC(F445,0)</f>
        <v>336</v>
      </c>
      <c r="C445" t="s">
        <f>TRUNC((F445-B445)*60,0)</f>
        <v>174</v>
      </c>
      <c r="D445" s="4" t="s">
        <f>ROUND(((F445-B445)-C445/60)*3600,0)</f>
        <v>135</v>
      </c>
      <c r="E445" s="4" t="s">
        <f>F445</f>
        <v>345</v>
      </c>
      <c r="F445" s="4" t="s">
        <f>I445+J445/60+K445/3600-(H445+G445)/3600</f>
        <v>345</v>
      </c>
      <c r="H445">
        <v>-1</v>
      </c>
      <c r="I445" s="4" t="s">
        <f>IF(I441&lt;180,I441+180,I441-180)</f>
        <v>336</v>
      </c>
      <c r="J445" s="4" t="s">
        <f>J441</f>
        <v>174</v>
      </c>
      <c r="K445" s="4" t="s">
        <f>K441</f>
        <v>169</v>
      </c>
    </row>
    <row r="446">
      <c r="B446" t="s">
        <f>TRUNC(F446,0)</f>
        <v>333</v>
      </c>
      <c r="C446" t="s">
        <f>TRUNC((F446-B446)*60,0)</f>
        <v>174</v>
      </c>
      <c r="D446" s="4" t="s">
        <f>ROUND(((F446-B446)-C446/60)*3600,0)</f>
        <v>169</v>
      </c>
      <c r="E446" s="4" t="s">
        <f>E445-(B447+C447/60+D447/3600)</f>
        <v>341</v>
      </c>
      <c r="F446" s="4" t="s">
        <f>IF(E446&gt;0,E446,E446+360)</f>
        <v>341</v>
      </c>
    </row>
    <row r="447">
      <c r="B447">
        <v>180</v>
      </c>
      <c r="C447">
        <v>0</v>
      </c>
      <c r="D447" s="4">
        <v>1</v>
      </c>
    </row>
    <row r="448"/>
    <row r="449">
      <c r="A449" t="s">
        <f>TRVS!A66</f>
        <v>102</v>
      </c>
      <c r="B449" t="s">
        <f>TRUNC(F449,0)</f>
        <v>201</v>
      </c>
      <c r="C449" t="s">
        <f>TRUNC((F449-B449)*60,0)</f>
        <v>346</v>
      </c>
      <c r="D449" s="4" t="s">
        <f>ROUND(((F449-B449)-C449/60)*3600,0)</f>
        <v>208</v>
      </c>
      <c r="E449" s="4" t="s">
        <f>F449</f>
        <v>142</v>
      </c>
      <c r="F449" s="4" t="s">
        <f>I449+J449/60+K449/3600-(H449+G449)/3600</f>
        <v>142</v>
      </c>
      <c r="G449" t="s">
        <f>ROUND(((B447+C447/60+D447/3600)-(B451+C451/60+D451/3600))/2*3600,0)</f>
        <v>208</v>
      </c>
      <c r="H449" t="s">
        <f>H445</f>
        <v>195</v>
      </c>
      <c r="I449" s="4" t="s">
        <f>TRVS!B66</f>
        <v>201</v>
      </c>
      <c r="J449" s="4" t="s">
        <f>TRVS!C66</f>
        <v>346</v>
      </c>
      <c r="K449" s="4" t="s">
        <f>TRVS!D66</f>
        <v>208</v>
      </c>
      <c r="L449" t="s">
        <f>L444</f>
        <v>101</v>
      </c>
      <c r="M449" s="5" t="s">
        <f>TRVS!L66</f>
        <v>347</v>
      </c>
      <c r="N449" t="s">
        <f>A449</f>
        <v>102</v>
      </c>
      <c r="O449" s="3" t="s">
        <f>M449/$M$6</f>
        <v>348</v>
      </c>
    </row>
    <row r="450">
      <c r="B450" t="s">
        <f>TRUNC(F450,0)</f>
        <v>192</v>
      </c>
      <c r="C450" t="s">
        <f>TRUNC((F450-B450)*60,0)</f>
        <v>346</v>
      </c>
      <c r="D450" s="4" t="s">
        <f>ROUND(((F450-B450)-C450/60)*3600,0)</f>
        <v>181</v>
      </c>
      <c r="E450" s="4" t="s">
        <f>E449-(B451+C451/60+D451/3600)</f>
        <v>203</v>
      </c>
      <c r="F450" s="4" t="s">
        <f>IF(E450&gt;0,E450,E450+360)</f>
        <v>173</v>
      </c>
    </row>
    <row r="451">
      <c r="B451">
        <v>179</v>
      </c>
      <c r="C451">
        <v>59</v>
      </c>
      <c r="D451" s="4">
        <v>58</v>
      </c>
    </row>
    <row r="452">
      <c r="K452" t="s">
        <v>167</v>
      </c>
      <c r="L452" t="s">
        <f>A449</f>
        <v>102</v>
      </c>
    </row>
    <row r="453">
      <c r="A453" t="s">
        <f>L444</f>
        <v>101</v>
      </c>
      <c r="B453" t="s">
        <f>TRUNC(F453,0)</f>
        <v>192</v>
      </c>
      <c r="C453" t="s">
        <f>TRUNC((F453-B453)*60,0)</f>
        <v>200</v>
      </c>
      <c r="D453" s="4" t="s">
        <f>ROUND(((F453-B453)-C453/60)*3600,0)</f>
        <v>193</v>
      </c>
      <c r="E453" s="4" t="s">
        <f>F453</f>
        <v>173</v>
      </c>
      <c r="F453" s="4" t="s">
        <f>I453+J453/60+K453/3600-(H453+G453)/3600</f>
        <v>173</v>
      </c>
      <c r="H453">
        <v>3</v>
      </c>
      <c r="I453" s="4" t="s">
        <f>IF(I449&lt;180,I449+180,I449-180)</f>
        <v>192</v>
      </c>
      <c r="J453" s="4" t="s">
        <f>J449</f>
        <v>346</v>
      </c>
      <c r="K453" s="4" t="s">
        <f>K449</f>
        <v>208</v>
      </c>
    </row>
    <row r="454">
      <c r="B454" t="s">
        <f>TRUNC(F454,0)</f>
        <v>198</v>
      </c>
      <c r="C454" t="s">
        <f>TRUNC((F454-B454)*60,0)</f>
        <v>200</v>
      </c>
      <c r="D454" s="4" t="s">
        <f>ROUND(((F454-B454)-C454/60)*3600,0)</f>
        <v>179</v>
      </c>
      <c r="E454" s="4" t="s">
        <f>E453-(B455+C455/60+D455/3600)</f>
        <v>200</v>
      </c>
      <c r="F454" s="4" t="s">
        <f>IF(E454&gt;0,E454,E454+360)</f>
        <v>200</v>
      </c>
    </row>
    <row r="455">
      <c r="B455">
        <v>200</v>
      </c>
      <c r="C455">
        <v>0</v>
      </c>
      <c r="D455" s="4">
        <v>1</v>
      </c>
    </row>
    <row r="456"/>
    <row r="457">
      <c r="A457" t="s">
        <f>TRVS!A67</f>
        <v>103</v>
      </c>
      <c r="B457" t="s">
        <f>TRUNC(F457,0)</f>
        <v>177</v>
      </c>
      <c r="C457" t="s">
        <f>TRUNC((F457-B457)*60,0)</f>
        <v>186</v>
      </c>
      <c r="D457" s="4" t="s">
        <f>ROUND(((F457-B457)-C457/60)*3600,0)</f>
        <v>321</v>
      </c>
      <c r="E457" s="4" t="s">
        <f>F457</f>
        <v>177</v>
      </c>
      <c r="F457" s="4" t="s">
        <f>I457+J457/60+K457/3600-(H457+G457)/3600</f>
        <v>177</v>
      </c>
      <c r="G457" t="s">
        <f>ROUND(((B455+C455/60+D455/3600)-(B459+C459/60+D459/3600))/2*3600,0)</f>
        <v>195</v>
      </c>
      <c r="H457" t="s">
        <f>H453</f>
        <v>181</v>
      </c>
      <c r="I457" s="4" t="s">
        <f>TRVS!B67</f>
        <v>177</v>
      </c>
      <c r="J457" s="4" t="s">
        <f>TRVS!C67</f>
        <v>186</v>
      </c>
      <c r="K457" s="4" t="s">
        <f>TRVS!D67</f>
        <v>250</v>
      </c>
      <c r="L457" t="s">
        <f>L452</f>
        <v>102</v>
      </c>
      <c r="M457" s="5" t="s">
        <f>TRVS!L67</f>
        <v>349</v>
      </c>
      <c r="N457" t="s">
        <f>A457</f>
        <v>103</v>
      </c>
      <c r="O457" s="3" t="s">
        <f>M457/$M$6</f>
        <v>350</v>
      </c>
    </row>
    <row r="458">
      <c r="B458" t="s">
        <f>TRUNC(F458,0)</f>
        <v>351</v>
      </c>
      <c r="C458" t="s">
        <f>TRUNC((F458-B458)*60,0)</f>
        <v>186</v>
      </c>
      <c r="D458" s="4" t="s">
        <f>ROUND(((F458-B458)-C458/60)*3600,0)</f>
        <v>244</v>
      </c>
      <c r="E458" s="4" t="s">
        <f>E457-(B459+C459/60+D459/3600)</f>
        <v>352</v>
      </c>
      <c r="F458" s="4" t="s">
        <f>IF(E458&gt;0,E458,E458+360)</f>
        <v>351</v>
      </c>
    </row>
    <row r="459">
      <c r="B459">
        <v>200</v>
      </c>
      <c r="C459">
        <v>0</v>
      </c>
      <c r="D459" s="4">
        <v>2</v>
      </c>
    </row>
    <row r="460">
      <c r="K460" t="s">
        <v>167</v>
      </c>
      <c r="L460" t="s">
        <f>A457</f>
        <v>103</v>
      </c>
    </row>
    <row r="461">
      <c r="A461" t="s">
        <f>L452</f>
        <v>102</v>
      </c>
      <c r="B461" t="s">
        <f>TRUNC(F461,0)</f>
        <v>184</v>
      </c>
      <c r="C461" t="s">
        <f>TRUNC((F461-B461)*60,0)</f>
        <v>186</v>
      </c>
      <c r="D461" s="4" t="s">
        <f>ROUND(((F461-B461)-C461/60)*3600,0)</f>
        <v>205</v>
      </c>
      <c r="E461" s="4" t="s">
        <f>F461</f>
        <v>184</v>
      </c>
      <c r="F461" s="4" t="s">
        <f>I461+J461/60+K461/3600-(H461+G461)/3600</f>
        <v>184</v>
      </c>
      <c r="H461">
        <v>1</v>
      </c>
      <c r="I461" s="4" t="s">
        <f>IF(I457&lt;180,I457+180,I457-180)</f>
        <v>184</v>
      </c>
      <c r="J461" s="4" t="s">
        <f>J457</f>
        <v>186</v>
      </c>
      <c r="K461" s="4" t="s">
        <f>K457</f>
        <v>250</v>
      </c>
    </row>
    <row r="462">
      <c r="B462" t="s">
        <f>TRUNC(F462,0)</f>
        <v>177</v>
      </c>
      <c r="C462" t="s">
        <f>TRUNC((F462-B462)*60,0)</f>
        <v>186</v>
      </c>
      <c r="D462" s="4" t="s">
        <f>ROUND(((F462-B462)-C462/60)*3600,0)</f>
        <v>321</v>
      </c>
      <c r="E462" s="4" t="s">
        <f>E461-(B463+C463/60+D463/3600)</f>
        <v>177</v>
      </c>
      <c r="F462" s="4" t="s">
        <f>IF(E462&gt;0,E462,E462+360)</f>
        <v>177</v>
      </c>
    </row>
    <row r="463">
      <c r="B463">
        <v>180</v>
      </c>
      <c r="C463">
        <v>0</v>
      </c>
      <c r="D463" s="4">
        <v>1</v>
      </c>
    </row>
    <row r="464"/>
    <row r="465">
      <c r="A465" t="s">
        <f>TRVS!A68</f>
        <v>104</v>
      </c>
      <c r="B465" t="s">
        <f>TRUNC(F465,0)</f>
        <v>353</v>
      </c>
      <c r="C465" t="s">
        <f>TRUNC((F465-B465)*60,0)</f>
        <v>133</v>
      </c>
      <c r="D465" s="4" t="s">
        <f>ROUND(((F465-B465)-C465/60)*3600,0)</f>
        <v>169</v>
      </c>
      <c r="E465" s="4" t="s">
        <f>F465</f>
        <v>353</v>
      </c>
      <c r="F465" s="4" t="s">
        <f>I465+J465/60+K465/3600-(H465+G465)/3600</f>
        <v>353</v>
      </c>
      <c r="G465" t="s">
        <f>ROUND(((B463+C463/60+D463/3600)-(B467+C467/60+D467/3600))/2*3600,0)</f>
        <v>207</v>
      </c>
      <c r="H465" t="s">
        <f>H461</f>
        <v>208</v>
      </c>
      <c r="I465" s="4" t="s">
        <f>TRVS!B68</f>
        <v>353</v>
      </c>
      <c r="J465" s="4" t="s">
        <f>TRVS!C68</f>
        <v>133</v>
      </c>
      <c r="K465" s="4" t="s">
        <f>TRVS!D68</f>
        <v>133</v>
      </c>
      <c r="L465" t="s">
        <f>L460</f>
        <v>103</v>
      </c>
      <c r="M465" s="5" t="s">
        <f>TRVS!L66</f>
        <v>347</v>
      </c>
      <c r="N465" t="s">
        <f>A465</f>
        <v>104</v>
      </c>
      <c r="O465" s="3" t="s">
        <f>M465/$M$6</f>
        <v>348</v>
      </c>
    </row>
    <row r="466">
      <c r="B466" t="s">
        <f>TRUNC(F466,0)</f>
        <v>354</v>
      </c>
      <c r="C466" t="s">
        <f>TRUNC((F466-B466)*60,0)</f>
        <v>133</v>
      </c>
      <c r="D466" s="4" t="s">
        <f>ROUND(((F466-B466)-C466/60)*3600,0)</f>
        <v>223</v>
      </c>
      <c r="E466" s="4" t="s">
        <f>E465-(B467+C467/60+D467/3600)</f>
        <v>355</v>
      </c>
      <c r="F466" s="4" t="s">
        <f>IF(E466&gt;0,E466,E466+360)</f>
        <v>354</v>
      </c>
    </row>
    <row r="467">
      <c r="B467">
        <v>180</v>
      </c>
      <c r="C467">
        <v>0</v>
      </c>
      <c r="D467" s="4">
        <v>7</v>
      </c>
    </row>
    <row r="468">
      <c r="K468" t="s">
        <v>167</v>
      </c>
      <c r="L468" t="s">
        <f>A465</f>
        <v>104</v>
      </c>
    </row>
    <row r="469">
      <c r="A469" t="s">
        <f>L460</f>
        <v>103</v>
      </c>
      <c r="B469" t="s">
        <f>TRUNC(F469,0)</f>
        <v>354</v>
      </c>
      <c r="C469" t="s">
        <f>TRUNC((F469-B469)*60,0)</f>
        <v>133</v>
      </c>
      <c r="D469" s="4" t="s">
        <f>ROUND(((F469-B469)-C469/60)*3600,0)</f>
        <v>159</v>
      </c>
      <c r="E469" s="4" t="s">
        <f>F469</f>
        <v>354</v>
      </c>
      <c r="F469" s="4" t="s">
        <f>I469+J469/60+K469/3600-(H469+G469)/3600</f>
        <v>354</v>
      </c>
      <c r="H469">
        <v>-1</v>
      </c>
      <c r="I469" s="4" t="s">
        <f>IF(I465&lt;180,I465+180,I465-180)</f>
        <v>354</v>
      </c>
      <c r="J469" s="4" t="s">
        <f>J465</f>
        <v>133</v>
      </c>
      <c r="K469" s="4" t="s">
        <f>K465</f>
        <v>133</v>
      </c>
    </row>
    <row r="470">
      <c r="B470" t="s">
        <f>TRUNC(F470,0)</f>
        <v>353</v>
      </c>
      <c r="C470" t="s">
        <f>TRUNC((F470-B470)*60,0)</f>
        <v>133</v>
      </c>
      <c r="D470" s="4" t="s">
        <f>ROUND(((F470-B470)-C470/60)*3600,0)</f>
        <v>133</v>
      </c>
      <c r="E470" s="4" t="s">
        <f>E469-(B471+C471/60+D471/3600)</f>
        <v>353</v>
      </c>
      <c r="F470" s="4" t="s">
        <f>IF(E470&gt;0,E470,E470+360)</f>
        <v>353</v>
      </c>
    </row>
    <row r="471">
      <c r="B471">
        <v>180</v>
      </c>
      <c r="C471">
        <v>0</v>
      </c>
      <c r="D471" s="4">
        <v>1</v>
      </c>
    </row>
    <row r="472"/>
    <row r="473">
      <c r="A473" t="s">
        <f>TRVS!A69</f>
        <v>105</v>
      </c>
      <c r="B473" t="s">
        <f>TRUNC(F473,0)</f>
        <v>356</v>
      </c>
      <c r="C473" t="s">
        <f>TRUNC((F473-B473)*60,0)</f>
        <v>226</v>
      </c>
      <c r="D473" s="4" t="s">
        <f>ROUND(((F473-B473)-C473/60)*3600,0)</f>
        <v>193</v>
      </c>
      <c r="E473" s="4" t="s">
        <f>F473</f>
        <v>356</v>
      </c>
      <c r="F473" s="4" t="s">
        <f>I473+J473/60+K473/3600-(H473+G473)/3600</f>
        <v>356</v>
      </c>
      <c r="G473" t="s">
        <f>ROUND(((B471+C471/60+D471/3600)-(B475+C475/60+D475/3600))/2*3600,0)</f>
        <v>208</v>
      </c>
      <c r="H473" t="s">
        <f>H469</f>
        <v>195</v>
      </c>
      <c r="I473" s="4" t="s">
        <f>TRVS!B69</f>
        <v>356</v>
      </c>
      <c r="J473" s="4" t="s">
        <f>TRVS!C69</f>
        <v>226</v>
      </c>
      <c r="K473" s="4" t="s">
        <f>TRVS!D69</f>
        <v>193</v>
      </c>
      <c r="L473" t="s">
        <f>L468</f>
        <v>104</v>
      </c>
      <c r="M473" s="5" t="s">
        <f>TRVS!L69</f>
        <v>357</v>
      </c>
      <c r="N473" t="s">
        <f>A473</f>
        <v>105</v>
      </c>
      <c r="O473" s="3" t="s">
        <f>M473/$M$6</f>
        <v>358</v>
      </c>
    </row>
    <row r="474">
      <c r="B474" t="s">
        <f>TRUNC(F474,0)</f>
        <v>346</v>
      </c>
      <c r="C474" t="s">
        <f>TRUNC((F474-B474)*60,0)</f>
        <v>230</v>
      </c>
      <c r="D474" s="4" t="s">
        <f>ROUND(((F474-B474)-C474/60)*3600,0)</f>
        <v>172</v>
      </c>
      <c r="E474" s="4" t="s">
        <f>E473-(B475+C475/60+D475/3600)</f>
        <v>346</v>
      </c>
      <c r="F474" s="4" t="s">
        <f>IF(E474&gt;0,E474,E474+360)</f>
        <v>346</v>
      </c>
    </row>
    <row r="475">
      <c r="B475">
        <v>179</v>
      </c>
      <c r="C475">
        <v>59</v>
      </c>
      <c r="D475" s="4">
        <v>58</v>
      </c>
    </row>
    <row r="476">
      <c r="K476" t="s">
        <v>167</v>
      </c>
      <c r="L476" t="s">
        <f>A473</f>
        <v>105</v>
      </c>
    </row>
    <row r="477">
      <c r="A477" t="s">
        <f>L468</f>
        <v>104</v>
      </c>
      <c r="B477" t="s">
        <f>TRUNC(F477,0)</f>
        <v>346</v>
      </c>
      <c r="C477" t="s">
        <f>TRUNC((F477-B477)*60,0)</f>
        <v>226</v>
      </c>
      <c r="D477" s="4" t="s">
        <f>ROUND(((F477-B477)-C477/60)*3600,0)</f>
        <v>193</v>
      </c>
      <c r="E477" s="4" t="s">
        <f>F477</f>
        <v>346</v>
      </c>
      <c r="F477" s="4" t="s">
        <f>I477+J477/60+K477/3600-(H477+G477)/3600</f>
        <v>346</v>
      </c>
      <c r="H477">
        <v>0</v>
      </c>
      <c r="I477" s="4" t="s">
        <f>IF(I473&lt;180,I473+180,I473-180)</f>
        <v>346</v>
      </c>
      <c r="J477" s="4" t="s">
        <f>J473</f>
        <v>226</v>
      </c>
      <c r="K477" s="4" t="s">
        <f>K473</f>
        <v>193</v>
      </c>
    </row>
    <row r="478">
      <c r="B478" t="s">
        <f>TRUNC(F478,0)</f>
        <v>356</v>
      </c>
      <c r="C478" t="s">
        <f>TRUNC((F478-B478)*60,0)</f>
        <v>226</v>
      </c>
      <c r="D478" s="4" t="s">
        <f>ROUND(((F478-B478)-C478/60)*3600,0)</f>
        <v>142</v>
      </c>
      <c r="E478" s="4" t="s">
        <f>E477-(B479+C479/60+D479/3600)</f>
        <v>359</v>
      </c>
      <c r="F478" s="4" t="s">
        <f>IF(E478&gt;0,E478,E478+360)</f>
        <v>356</v>
      </c>
    </row>
    <row r="479">
      <c r="B479">
        <v>180</v>
      </c>
      <c r="C479">
        <v>0</v>
      </c>
      <c r="D479" s="4">
        <v>5</v>
      </c>
    </row>
    <row r="480"/>
    <row r="481">
      <c r="A481" t="s">
        <f>TRVS!A70</f>
        <v>106</v>
      </c>
      <c r="B481" t="s">
        <f>TRUNC(F481,0)</f>
        <v>360</v>
      </c>
      <c r="C481" t="s">
        <f>TRUNC((F481-B481)*60,0)</f>
        <v>172</v>
      </c>
      <c r="D481" s="4" t="s">
        <f>ROUND(((F481-B481)-C481/60)*3600,0)</f>
        <v>209</v>
      </c>
      <c r="E481" s="4" t="s">
        <f>F481</f>
        <v>360</v>
      </c>
      <c r="F481" s="4" t="s">
        <f>I481+J481/60+K481/3600-(H481+G481)/3600</f>
        <v>360</v>
      </c>
      <c r="G481" t="s">
        <f>ROUND(((B479+C479/60+D479/3600)-(B483+C483/60+D483/3600))/2*3600,0)</f>
        <v>312</v>
      </c>
      <c r="H481" t="s">
        <f>H477</f>
        <v>172</v>
      </c>
      <c r="I481" s="4" t="s">
        <f>TRVS!B70</f>
        <v>360</v>
      </c>
      <c r="J481" s="4" t="s">
        <f>TRVS!C70</f>
        <v>172</v>
      </c>
      <c r="K481" s="4" t="s">
        <f>TRVS!D70</f>
        <v>320</v>
      </c>
      <c r="L481" t="s">
        <f>L476</f>
        <v>105</v>
      </c>
      <c r="M481" s="5" t="s">
        <f>TRVS!L70</f>
        <v>361</v>
      </c>
      <c r="N481" t="s">
        <f>A481</f>
        <v>106</v>
      </c>
      <c r="O481" s="3" t="s">
        <f>M481/$M$6</f>
        <v>362</v>
      </c>
    </row>
    <row r="482">
      <c r="B482" t="s">
        <f>TRUNC(F482,0)</f>
        <v>363</v>
      </c>
      <c r="C482" t="s">
        <f>TRUNC((F482-B482)*60,0)</f>
        <v>172</v>
      </c>
      <c r="D482" s="4" t="s">
        <f>ROUND(((F482-B482)-C482/60)*3600,0)</f>
        <v>179</v>
      </c>
      <c r="E482" s="4" t="s">
        <f>E481-(B483+C483/60+D483/3600)</f>
        <v>364</v>
      </c>
      <c r="F482" s="4" t="s">
        <f>IF(E482&gt;0,E482,E482+360)</f>
        <v>363</v>
      </c>
    </row>
    <row r="483">
      <c r="B483">
        <v>179</v>
      </c>
      <c r="C483">
        <v>59</v>
      </c>
      <c r="D483" s="4">
        <v>58</v>
      </c>
    </row>
    <row r="484">
      <c r="K484" t="s">
        <v>167</v>
      </c>
      <c r="L484" t="s">
        <f>A481</f>
        <v>106</v>
      </c>
    </row>
    <row r="485">
      <c r="A485" t="s">
        <f>L476</f>
        <v>105</v>
      </c>
      <c r="B485" t="s">
        <f>TRUNC(F485,0)</f>
        <v>363</v>
      </c>
      <c r="C485" t="s">
        <f>TRUNC((F485-B485)*60,0)</f>
        <v>172</v>
      </c>
      <c r="D485" s="4" t="s">
        <f>ROUND(((F485-B485)-C485/60)*3600,0)</f>
        <v>193</v>
      </c>
      <c r="E485" s="4" t="s">
        <f>F485</f>
        <v>363</v>
      </c>
      <c r="F485" s="4" t="s">
        <f>I485+J485/60+K485/3600-(H485+G485)/3600</f>
        <v>363</v>
      </c>
      <c r="H485">
        <v>1</v>
      </c>
      <c r="I485" s="4" t="s">
        <f>IF(I481&lt;180,I481+180,I481-180)</f>
        <v>363</v>
      </c>
      <c r="J485" s="4" t="s">
        <f>J481</f>
        <v>172</v>
      </c>
      <c r="K485" s="4" t="s">
        <f>K481</f>
        <v>320</v>
      </c>
    </row>
    <row r="486">
      <c r="B486" t="s">
        <f>TRUNC(F486,0)</f>
        <v>360</v>
      </c>
      <c r="C486" t="s">
        <f>TRUNC((F486-B486)*60,0)</f>
        <v>172</v>
      </c>
      <c r="D486" s="4" t="s">
        <f>ROUND(((F486-B486)-C486/60)*3600,0)</f>
        <v>179</v>
      </c>
      <c r="E486" s="4" t="s">
        <f>E485-(B487+C487/60+D487/3600)</f>
        <v>360</v>
      </c>
      <c r="F486" s="4" t="s">
        <f>IF(E486&gt;0,E486,E486+360)</f>
        <v>360</v>
      </c>
    </row>
    <row r="487">
      <c r="B487">
        <v>180</v>
      </c>
      <c r="C487">
        <v>0</v>
      </c>
      <c r="D487" s="4">
        <v>1</v>
      </c>
    </row>
    <row r="488"/>
    <row r="489">
      <c r="A489" t="s">
        <f>TRVS!A71</f>
        <v>107</v>
      </c>
      <c r="B489" t="s">
        <f>TRUNC(F489,0)</f>
        <v>365</v>
      </c>
      <c r="C489" t="s">
        <f>TRUNC((F489-B489)*60,0)</f>
        <v>250</v>
      </c>
      <c r="D489" s="4" t="s">
        <f>ROUND(((F489-B489)-C489/60)*3600,0)</f>
        <v>134</v>
      </c>
      <c r="E489" s="4" t="s">
        <f>F489</f>
        <v>366</v>
      </c>
      <c r="F489" s="4" t="s">
        <f>I489+J489/60+K489/3600-(H489+G489)/3600</f>
        <v>366</v>
      </c>
      <c r="G489" t="s">
        <f>ROUND(((B487+C487/60+D487/3600)-(B491+C491/60+D491/3600))/2*3600,0)</f>
        <v>208</v>
      </c>
      <c r="H489" t="s">
        <f>H485</f>
        <v>208</v>
      </c>
      <c r="I489" s="4" t="s">
        <f>TRVS!B71</f>
        <v>365</v>
      </c>
      <c r="J489" s="4" t="s">
        <f>TRVS!C71</f>
        <v>250</v>
      </c>
      <c r="K489" s="4" t="s">
        <f>TRVS!D71</f>
        <v>235</v>
      </c>
      <c r="L489" t="s">
        <f>L484</f>
        <v>106</v>
      </c>
      <c r="M489" s="5" t="s">
        <f>TRVS!L71</f>
        <v>367</v>
      </c>
      <c r="N489" t="s">
        <f>A489</f>
        <v>107</v>
      </c>
      <c r="O489" s="3" t="s">
        <f>M489/$M$6</f>
        <v>368</v>
      </c>
    </row>
    <row r="490">
      <c r="B490" t="s">
        <f>TRUNC(F490,0)</f>
        <v>369</v>
      </c>
      <c r="C490" t="s">
        <f>TRUNC((F490-B490)*60,0)</f>
        <v>250</v>
      </c>
      <c r="D490" s="4" t="s">
        <f>ROUND(((F490-B490)-C490/60)*3600,0)</f>
        <v>235</v>
      </c>
      <c r="E490" s="4" t="s">
        <f>E489-(B491+C491/60+D491/3600)</f>
        <v>370</v>
      </c>
      <c r="F490" s="4" t="s">
        <f>IF(E490&gt;0,E490,E490+360)</f>
        <v>371</v>
      </c>
    </row>
    <row r="491">
      <c r="B491">
        <v>179</v>
      </c>
      <c r="C491">
        <v>59</v>
      </c>
      <c r="D491" s="4">
        <v>58</v>
      </c>
    </row>
    <row r="492">
      <c r="K492" t="s">
        <v>167</v>
      </c>
      <c r="L492" t="s">
        <f>A489</f>
        <v>107</v>
      </c>
    </row>
    <row r="493">
      <c r="A493" t="s">
        <f>L484</f>
        <v>106</v>
      </c>
      <c r="B493" t="s">
        <f>TRUNC(F493,0)</f>
        <v>369</v>
      </c>
      <c r="C493" t="s">
        <f>TRUNC((F493-B493)*60,0)</f>
        <v>250</v>
      </c>
      <c r="D493" s="4" t="s">
        <f>ROUND(((F493-B493)-C493/60)*3600,0)</f>
        <v>238</v>
      </c>
      <c r="E493" s="4" t="s">
        <f>F493</f>
        <v>371</v>
      </c>
      <c r="F493" s="4" t="s">
        <f>I493+J493/60+K493/3600-(H493+G493)/3600</f>
        <v>371</v>
      </c>
      <c r="H493">
        <v>1</v>
      </c>
      <c r="I493" s="4" t="s">
        <f>IF(I489&lt;180,I489+180,I489-180)</f>
        <v>369</v>
      </c>
      <c r="J493" s="4" t="s">
        <f>J489</f>
        <v>250</v>
      </c>
      <c r="K493" s="4" t="s">
        <f>K489</f>
        <v>235</v>
      </c>
    </row>
    <row r="494">
      <c r="B494" t="s">
        <f>TRUNC(F494,0)</f>
        <v>365</v>
      </c>
      <c r="C494" t="s">
        <f>TRUNC((F494-B494)*60,0)</f>
        <v>250</v>
      </c>
      <c r="D494" s="4" t="s">
        <f>ROUND(((F494-B494)-C494/60)*3600,0)</f>
        <v>134</v>
      </c>
      <c r="E494" s="4" t="s">
        <f>E493-(B495+C495/60+D495/3600)</f>
        <v>366</v>
      </c>
      <c r="F494" s="4" t="s">
        <f>IF(E494&gt;0,E494,E494+360)</f>
        <v>366</v>
      </c>
    </row>
    <row r="495">
      <c r="B495">
        <v>180</v>
      </c>
      <c r="C495">
        <v>0</v>
      </c>
      <c r="D495" s="4">
        <v>1</v>
      </c>
    </row>
    <row r="496"/>
    <row r="497">
      <c r="A497" t="s">
        <f>TRVS!A72</f>
        <v>108</v>
      </c>
      <c r="B497" t="s">
        <f>TRUNC(F497,0)</f>
        <v>286</v>
      </c>
      <c r="C497" t="s">
        <f>TRUNC((F497-B497)*60,0)</f>
        <v>251</v>
      </c>
      <c r="D497" s="4" t="s">
        <f>ROUND(((F497-B497)-C497/60)*3600,0)</f>
        <v>142</v>
      </c>
      <c r="E497" s="4" t="s">
        <f>F497</f>
        <v>174</v>
      </c>
      <c r="F497" s="4" t="s">
        <f>I497+J497/60+K497/3600-(H497+G497)/3600</f>
        <v>174</v>
      </c>
      <c r="G497" t="s">
        <f>ROUND(((B495+C495/60+D495/3600)-(B499+C499/60+D499/3600))/2*3600,0)</f>
        <v>208</v>
      </c>
      <c r="H497" t="s">
        <f>H493</f>
        <v>208</v>
      </c>
      <c r="I497" s="4" t="s">
        <f>TRVS!B72</f>
        <v>286</v>
      </c>
      <c r="J497" s="4" t="s">
        <f>TRVS!C72</f>
        <v>251</v>
      </c>
      <c r="K497" s="4" t="s">
        <f>TRVS!D72</f>
        <v>209</v>
      </c>
      <c r="L497" t="s">
        <f>L492</f>
        <v>107</v>
      </c>
      <c r="M497" s="5" t="s">
        <f>TRVS!L72</f>
        <v>372</v>
      </c>
      <c r="N497" t="s">
        <f>A497</f>
        <v>108</v>
      </c>
      <c r="O497" s="3" t="s">
        <f>M497/$M$6</f>
        <v>373</v>
      </c>
    </row>
    <row r="498">
      <c r="B498" t="s">
        <f>TRUNC(F498,0)</f>
        <v>374</v>
      </c>
      <c r="C498" t="s">
        <f>TRUNC((F498-B498)*60,0)</f>
        <v>251</v>
      </c>
      <c r="D498" s="4" t="s">
        <f>ROUND(((F498-B498)-C498/60)*3600,0)</f>
        <v>209</v>
      </c>
      <c r="E498" s="4" t="s">
        <f>E497-(B499+C499/60+D499/3600)</f>
        <v>375</v>
      </c>
      <c r="F498" s="4" t="s">
        <f>IF(E498&gt;0,E498,E498+360)</f>
        <v>324</v>
      </c>
    </row>
    <row r="499">
      <c r="B499">
        <v>179</v>
      </c>
      <c r="C499">
        <v>59</v>
      </c>
      <c r="D499" s="4">
        <v>58</v>
      </c>
    </row>
    <row r="500">
      <c r="K500" t="s">
        <v>167</v>
      </c>
      <c r="L500" t="s">
        <f>A497</f>
        <v>108</v>
      </c>
    </row>
    <row r="501">
      <c r="A501" t="s">
        <f>L492</f>
        <v>107</v>
      </c>
      <c r="B501" t="s">
        <f>TRUNC(F501,0)</f>
        <v>374</v>
      </c>
      <c r="C501" t="s">
        <f>TRUNC((F501-B501)*60,0)</f>
        <v>251</v>
      </c>
      <c r="D501" s="4" t="s">
        <f>ROUND(((F501-B501)-C501/60)*3600,0)</f>
        <v>171</v>
      </c>
      <c r="E501" s="4" t="s">
        <f>F501</f>
        <v>324</v>
      </c>
      <c r="F501" s="4" t="s">
        <f>I501+J501/60+K501/3600-(H501+G501)/3600</f>
        <v>324</v>
      </c>
      <c r="H501">
        <v>1</v>
      </c>
      <c r="I501" s="4" t="s">
        <f>IF(I497&lt;180,I497+180,I497-180)</f>
        <v>374</v>
      </c>
      <c r="J501" s="4" t="s">
        <f>J497</f>
        <v>251</v>
      </c>
      <c r="K501" s="4" t="s">
        <f>K497</f>
        <v>209</v>
      </c>
    </row>
    <row r="502">
      <c r="B502" t="s">
        <f>TRUNC(F502,0)</f>
        <v>286</v>
      </c>
      <c r="C502" t="s">
        <f>TRUNC((F502-B502)*60,0)</f>
        <v>251</v>
      </c>
      <c r="D502" s="4" t="s">
        <f>ROUND(((F502-B502)-C502/60)*3600,0)</f>
        <v>142</v>
      </c>
      <c r="E502" s="4" t="s">
        <f>E501-(B503+C503/60+D503/3600)</f>
        <v>174</v>
      </c>
      <c r="F502" s="4" t="s">
        <f>IF(E502&gt;0,E502,E502+360)</f>
        <v>174</v>
      </c>
    </row>
    <row r="503">
      <c r="B503">
        <v>180</v>
      </c>
      <c r="C503">
        <v>0</v>
      </c>
      <c r="D503" s="4">
        <v>1</v>
      </c>
    </row>
    <row r="504"/>
    <row r="505">
      <c r="A505" t="s">
        <f>TRVS!A73</f>
        <v>109</v>
      </c>
      <c r="B505" t="s">
        <f>TRUNC(F505,0)</f>
        <v>144</v>
      </c>
      <c r="C505" t="s">
        <f>TRUNC((F505-B505)*60,0)</f>
        <v>194</v>
      </c>
      <c r="D505" s="4" t="s">
        <f>ROUND(((F505-B505)-C505/60)*3600,0)</f>
        <v>213</v>
      </c>
      <c r="E505" s="4" t="s">
        <f>F505</f>
        <v>144</v>
      </c>
      <c r="F505" s="4" t="s">
        <f>I505+J505/60+K505/3600-(H505+G505)/3600</f>
        <v>144</v>
      </c>
      <c r="G505" t="s">
        <f>ROUND(((B503+C503/60+D503/3600)-(B507+C507/60+D507/3600))/2*3600,0)</f>
        <v>207</v>
      </c>
      <c r="H505" t="s">
        <f>H501</f>
        <v>208</v>
      </c>
      <c r="I505" s="4" t="s">
        <f>TRVS!B73</f>
        <v>144</v>
      </c>
      <c r="J505" s="4" t="s">
        <f>TRVS!C73</f>
        <v>194</v>
      </c>
      <c r="K505" s="4" t="s">
        <f>TRVS!D73</f>
        <v>174</v>
      </c>
      <c r="L505" t="s">
        <f>L500</f>
        <v>108</v>
      </c>
      <c r="M505" s="5" t="s">
        <f>TRVS!L73</f>
        <v>376</v>
      </c>
      <c r="N505" t="s">
        <f>A505</f>
        <v>109</v>
      </c>
      <c r="O505" s="3" t="s">
        <f>M505/$M$6</f>
        <v>377</v>
      </c>
    </row>
    <row r="506">
      <c r="B506" t="s">
        <f>TRUNC(F506,0)</f>
        <v>232</v>
      </c>
      <c r="C506" t="s">
        <f>TRUNC((F506-B506)*60,0)</f>
        <v>194</v>
      </c>
      <c r="D506" s="4" t="s">
        <f>ROUND(((F506-B506)-C506/60)*3600,0)</f>
        <v>250</v>
      </c>
      <c r="E506" s="4" t="s">
        <f>E505-(B507+C507/60+D507/3600)</f>
        <v>325</v>
      </c>
      <c r="F506" s="4" t="s">
        <f>IF(E506&gt;0,E506,E506+360)</f>
        <v>232</v>
      </c>
    </row>
    <row r="507">
      <c r="B507">
        <v>180</v>
      </c>
      <c r="C507">
        <v>0</v>
      </c>
      <c r="D507" s="4">
        <v>7</v>
      </c>
    </row>
    <row r="508">
      <c r="K508" t="s">
        <v>167</v>
      </c>
      <c r="L508" t="s">
        <f>A505</f>
        <v>109</v>
      </c>
    </row>
    <row r="509">
      <c r="A509" t="s">
        <f>L500</f>
        <v>108</v>
      </c>
      <c r="B509" t="s">
        <f>TRUNC(F509,0)</f>
        <v>232</v>
      </c>
      <c r="C509" t="s">
        <f>TRUNC((F509-B509)*60,0)</f>
        <v>194</v>
      </c>
      <c r="D509" s="4" t="s">
        <f>ROUND(((F509-B509)-C509/60)*3600,0)</f>
        <v>144</v>
      </c>
      <c r="E509" s="4" t="s">
        <f>F509</f>
        <v>232</v>
      </c>
      <c r="F509" s="4" t="s">
        <f>I509+J509/60+K509/3600-(H509+G509)/3600</f>
        <v>232</v>
      </c>
      <c r="H509">
        <v>-1</v>
      </c>
      <c r="I509" s="4" t="s">
        <f>IF(I505&lt;180,I505+180,I505-180)</f>
        <v>232</v>
      </c>
      <c r="J509" s="4" t="s">
        <f>J505</f>
        <v>194</v>
      </c>
      <c r="K509" s="4" t="s">
        <f>K505</f>
        <v>174</v>
      </c>
    </row>
    <row r="510">
      <c r="B510" t="s">
        <f>TRUNC(F510,0)</f>
        <v>144</v>
      </c>
      <c r="C510" t="s">
        <f>TRUNC((F510-B510)*60,0)</f>
        <v>194</v>
      </c>
      <c r="D510" s="4" t="s">
        <f>ROUND(((F510-B510)-C510/60)*3600,0)</f>
        <v>174</v>
      </c>
      <c r="E510" s="4" t="s">
        <f>E509-(B511+C511/60+D511/3600)</f>
        <v>144</v>
      </c>
      <c r="F510" s="4" t="s">
        <f>IF(E510&gt;0,E510,E510+360)</f>
        <v>144</v>
      </c>
    </row>
    <row r="511">
      <c r="B511">
        <v>180</v>
      </c>
      <c r="C511">
        <v>0</v>
      </c>
      <c r="D511" s="4">
        <v>1</v>
      </c>
    </row>
    <row r="512"/>
    <row r="513">
      <c r="A513" t="s">
        <f>TRVS!A74</f>
        <v>110</v>
      </c>
      <c r="B513" t="s">
        <f>TRUNC(F513,0)</f>
        <v>201</v>
      </c>
      <c r="C513" t="s">
        <f>TRUNC((F513-B513)*60,0)</f>
        <v>172</v>
      </c>
      <c r="D513" s="4" t="s">
        <f>ROUND(((F513-B513)-C513/60)*3600,0)</f>
        <v>153</v>
      </c>
      <c r="E513" s="4" t="s">
        <f>F513</f>
        <v>201</v>
      </c>
      <c r="F513" s="4" t="s">
        <f>I513+J513/60+K513/3600-(H513+G513)/3600</f>
        <v>201</v>
      </c>
      <c r="G513" t="s">
        <f>ROUND(((B511+C511/60+D511/3600)-(B515+C515/60+D515/3600))/2*3600,0)</f>
        <v>208</v>
      </c>
      <c r="H513" t="s">
        <f>H509</f>
        <v>195</v>
      </c>
      <c r="I513" s="4" t="s">
        <f>TRVS!B74</f>
        <v>201</v>
      </c>
      <c r="J513" s="4" t="s">
        <f>TRVS!C74</f>
        <v>172</v>
      </c>
      <c r="K513" s="4" t="s">
        <f>TRVS!D74</f>
        <v>153</v>
      </c>
      <c r="L513" t="s">
        <f>L508</f>
        <v>109</v>
      </c>
      <c r="M513" s="5" t="s">
        <f>TRVS!L74</f>
        <v>378</v>
      </c>
      <c r="N513" t="s">
        <f>A513</f>
        <v>110</v>
      </c>
      <c r="O513" s="3" t="s">
        <f>M513/$M$6</f>
        <v>379</v>
      </c>
    </row>
    <row r="514">
      <c r="B514" t="s">
        <f>TRUNC(F514,0)</f>
        <v>192</v>
      </c>
      <c r="C514" t="s">
        <f>TRUNC((F514-B514)*60,0)</f>
        <v>172</v>
      </c>
      <c r="D514" s="4" t="s">
        <f>ROUND(((F514-B514)-C514/60)*3600,0)</f>
        <v>286</v>
      </c>
      <c r="E514" s="4" t="s">
        <f>E513-(B515+C515/60+D515/3600)</f>
        <v>380</v>
      </c>
      <c r="F514" s="4" t="s">
        <f>IF(E514&gt;0,E514,E514+360)</f>
        <v>192</v>
      </c>
    </row>
    <row r="515">
      <c r="B515">
        <v>179</v>
      </c>
      <c r="C515">
        <v>59</v>
      </c>
      <c r="D515" s="4">
        <v>58</v>
      </c>
    </row>
    <row r="516">
      <c r="K516" t="s">
        <v>167</v>
      </c>
      <c r="L516" t="s">
        <f>A513</f>
        <v>110</v>
      </c>
    </row>
    <row r="517">
      <c r="A517" t="s">
        <f>L508</f>
        <v>109</v>
      </c>
      <c r="B517" t="s">
        <f>TRUNC(F517,0)</f>
        <v>192</v>
      </c>
      <c r="C517" t="s">
        <f>TRUNC((F517-B517)*60,0)</f>
        <v>172</v>
      </c>
      <c r="D517" s="4" t="s">
        <f>ROUND(((F517-B517)-C517/60)*3600,0)</f>
        <v>381</v>
      </c>
      <c r="E517" s="4" t="s">
        <f>F517</f>
        <v>192</v>
      </c>
      <c r="F517" s="4" t="s">
        <f>I517+J517/60+K517/3600-(H517+G517)/3600</f>
        <v>192</v>
      </c>
      <c r="H517">
        <v>-1</v>
      </c>
      <c r="I517" s="4" t="s">
        <f>IF(I513&lt;180,I513+180,I513-180)</f>
        <v>192</v>
      </c>
      <c r="J517" s="4" t="s">
        <f>J513</f>
        <v>172</v>
      </c>
      <c r="K517" s="4" t="s">
        <f>K513</f>
        <v>153</v>
      </c>
    </row>
    <row r="518">
      <c r="B518" t="s">
        <f>TRUNC(F518,0)</f>
        <v>201</v>
      </c>
      <c r="C518" t="s">
        <f>TRUNC((F518-B518)*60,0)</f>
        <v>172</v>
      </c>
      <c r="D518" s="4" t="s">
        <f>ROUND(((F518-B518)-C518/60)*3600,0)</f>
        <v>153</v>
      </c>
      <c r="E518" s="4" t="s">
        <f>E517-(B519+C519/60+D519/3600)</f>
        <v>201</v>
      </c>
      <c r="F518" s="4" t="s">
        <f>IF(E518&gt;0,E518,E518+360)</f>
        <v>201</v>
      </c>
    </row>
    <row r="519">
      <c r="B519">
        <v>180</v>
      </c>
      <c r="C519">
        <v>0</v>
      </c>
      <c r="D519" s="4">
        <v>1</v>
      </c>
    </row>
    <row r="520"/>
    <row r="521">
      <c r="A521" t="s">
        <f>TRVS!A75</f>
        <v>111</v>
      </c>
      <c r="B521" t="s">
        <f>TRUNC(F521,0)</f>
        <v>179</v>
      </c>
      <c r="C521" t="s">
        <f>TRUNC((F521-B521)*60,0)</f>
        <v>223</v>
      </c>
      <c r="D521" s="4" t="s">
        <f>ROUND(((F521-B521)-C521/60)*3600,0)</f>
        <v>238</v>
      </c>
      <c r="E521" s="4" t="s">
        <f>F521</f>
        <v>179</v>
      </c>
      <c r="F521" s="4" t="s">
        <f>I521+J521/60+K521/3600-(H521+G521)/3600</f>
        <v>179</v>
      </c>
      <c r="G521" t="s">
        <f>ROUND(((B519+C519/60+D519/3600)-(B523+C523/60+D523/3600))/2*3600,0)</f>
        <v>208</v>
      </c>
      <c r="H521" t="s">
        <f>H517</f>
        <v>195</v>
      </c>
      <c r="I521" s="4" t="s">
        <f>TRVS!B75</f>
        <v>179</v>
      </c>
      <c r="J521" s="4" t="s">
        <f>TRVS!C75</f>
        <v>223</v>
      </c>
      <c r="K521" s="4" t="s">
        <f>TRVS!D75</f>
        <v>238</v>
      </c>
      <c r="L521" t="s">
        <f>L516</f>
        <v>110</v>
      </c>
      <c r="M521" s="5" t="s">
        <f>TRVS!L75</f>
        <v>382</v>
      </c>
      <c r="N521" t="s">
        <f>A521</f>
        <v>111</v>
      </c>
      <c r="O521" s="3" t="s">
        <f>M521/$M$6</f>
        <v>383</v>
      </c>
    </row>
    <row r="522">
      <c r="B522" t="s">
        <f>TRUNC(F522,0)</f>
        <v>258</v>
      </c>
      <c r="C522" t="s">
        <f>TRUNC((F522-B522)*60,0)</f>
        <v>223</v>
      </c>
      <c r="D522" s="4" t="s">
        <f>ROUND(((F522-B522)-C522/60)*3600,0)</f>
        <v>251</v>
      </c>
      <c r="E522" s="4" t="s">
        <f>E521-(B523+C523/60+D523/3600)</f>
        <v>257</v>
      </c>
      <c r="F522" s="4" t="s">
        <f>IF(E522&gt;0,E522,E522+360)</f>
        <v>258</v>
      </c>
    </row>
    <row r="523">
      <c r="B523">
        <v>179</v>
      </c>
      <c r="C523">
        <v>59</v>
      </c>
      <c r="D523" s="4">
        <v>58</v>
      </c>
    </row>
    <row r="524">
      <c r="K524" t="s">
        <v>167</v>
      </c>
      <c r="L524" t="s">
        <f>A521</f>
        <v>111</v>
      </c>
    </row>
    <row r="525">
      <c r="A525" t="s">
        <f>L516</f>
        <v>110</v>
      </c>
      <c r="B525" t="s">
        <f>TRUNC(F525,0)</f>
        <v>258</v>
      </c>
      <c r="C525" t="s">
        <f>TRUNC((F525-B525)*60,0)</f>
        <v>223</v>
      </c>
      <c r="D525" s="4" t="s">
        <f>ROUND(((F525-B525)-C525/60)*3600,0)</f>
        <v>235</v>
      </c>
      <c r="E525" s="4" t="s">
        <f>F525</f>
        <v>258</v>
      </c>
      <c r="F525" s="4" t="s">
        <f>I525+J525/60+K525/3600-(H525+G525)/3600</f>
        <v>258</v>
      </c>
      <c r="H525">
        <v>-1</v>
      </c>
      <c r="I525" s="4" t="s">
        <f>IF(I521&lt;180,I521+180,I521-180)</f>
        <v>258</v>
      </c>
      <c r="J525" s="4" t="s">
        <f>J521</f>
        <v>223</v>
      </c>
      <c r="K525" s="4" t="s">
        <f>K521</f>
        <v>238</v>
      </c>
    </row>
    <row r="526">
      <c r="B526" t="s">
        <f>TRUNC(F526,0)</f>
        <v>179</v>
      </c>
      <c r="C526" t="s">
        <f>TRUNC((F526-B526)*60,0)</f>
        <v>223</v>
      </c>
      <c r="D526" s="4" t="s">
        <f>ROUND(((F526-B526)-C526/60)*3600,0)</f>
        <v>238</v>
      </c>
      <c r="E526" s="4" t="s">
        <f>E525-(B527+C527/60+D527/3600)</f>
        <v>179</v>
      </c>
      <c r="F526" s="4" t="s">
        <f>IF(E526&gt;0,E526,E526+360)</f>
        <v>179</v>
      </c>
    </row>
    <row r="527">
      <c r="B527">
        <v>180</v>
      </c>
      <c r="C527">
        <v>0</v>
      </c>
      <c r="D527" s="4">
        <v>1</v>
      </c>
    </row>
    <row r="528"/>
    <row r="529">
      <c r="A529" t="s">
        <f>TRVS!A76</f>
        <v>112</v>
      </c>
      <c r="B529" t="s">
        <f>TRUNC(F529,0)</f>
        <v>384</v>
      </c>
      <c r="C529" t="s">
        <f>TRUNC((F529-B529)*60,0)</f>
        <v>260</v>
      </c>
      <c r="D529" s="4" t="s">
        <f>ROUND(((F529-B529)-C529/60)*3600,0)</f>
        <v>238</v>
      </c>
      <c r="E529" s="4" t="s">
        <f>F529</f>
        <v>384</v>
      </c>
      <c r="F529" s="4" t="s">
        <f>I529+J529/60+K529/3600-(H529+G529)/3600</f>
        <v>384</v>
      </c>
      <c r="G529" t="s">
        <f>ROUND(((B527+C527/60+D527/3600)-(B531+C531/60+D531/3600))/2*3600,0)</f>
        <v>208</v>
      </c>
      <c r="H529" t="s">
        <f>H525</f>
        <v>195</v>
      </c>
      <c r="I529" s="4" t="s">
        <f>TRVS!B76</f>
        <v>384</v>
      </c>
      <c r="J529" s="4" t="s">
        <f>TRVS!C76</f>
        <v>260</v>
      </c>
      <c r="K529" s="4" t="s">
        <f>TRVS!D76</f>
        <v>238</v>
      </c>
      <c r="L529" t="s">
        <f>L524</f>
        <v>111</v>
      </c>
      <c r="M529" s="5" t="s">
        <f>TRVS!L76</f>
        <v>385</v>
      </c>
      <c r="N529" t="s">
        <f>A529</f>
        <v>112</v>
      </c>
      <c r="O529" s="3" t="s">
        <f>M529/$M$6</f>
        <v>386</v>
      </c>
    </row>
    <row r="530">
      <c r="B530" t="s">
        <f>TRUNC(F530,0)</f>
        <v>387</v>
      </c>
      <c r="C530" t="s">
        <f>TRUNC((F530-B530)*60,0)</f>
        <v>260</v>
      </c>
      <c r="D530" s="4" t="s">
        <f>ROUND(((F530-B530)-C530/60)*3600,0)</f>
        <v>251</v>
      </c>
      <c r="E530" s="4" t="s">
        <f>E529-(B531+C531/60+D531/3600)</f>
        <v>388</v>
      </c>
      <c r="F530" s="4" t="s">
        <f>IF(E530&gt;0,E530,E530+360)</f>
        <v>387</v>
      </c>
    </row>
    <row r="531">
      <c r="B531">
        <v>179</v>
      </c>
      <c r="C531">
        <v>59</v>
      </c>
      <c r="D531" s="4">
        <v>58</v>
      </c>
    </row>
    <row r="532">
      <c r="K532" t="s">
        <v>167</v>
      </c>
      <c r="L532" t="s">
        <f>A529</f>
        <v>112</v>
      </c>
    </row>
    <row r="533">
      <c r="A533" t="s">
        <f>L524</f>
        <v>111</v>
      </c>
      <c r="B533" t="s">
        <f>TRUNC(F533,0)</f>
        <v>387</v>
      </c>
      <c r="C533" t="s">
        <f>TRUNC((F533-B533)*60,0)</f>
        <v>260</v>
      </c>
      <c r="D533" s="4" t="s">
        <f>ROUND(((F533-B533)-C533/60)*3600,0)</f>
        <v>238</v>
      </c>
      <c r="E533" s="4" t="s">
        <f>F533</f>
        <v>387</v>
      </c>
      <c r="F533" s="4" t="s">
        <f>I533+J533/60+K533/3600-(H533+G533)/3600</f>
        <v>387</v>
      </c>
      <c r="H533">
        <v>0</v>
      </c>
      <c r="I533" s="4" t="s">
        <f>IF(I529&lt;180,I529+180,I529-180)</f>
        <v>387</v>
      </c>
      <c r="J533" s="4" t="s">
        <f>J529</f>
        <v>260</v>
      </c>
      <c r="K533" s="4" t="s">
        <f>K529</f>
        <v>238</v>
      </c>
    </row>
    <row r="534">
      <c r="B534" t="s">
        <f>TRUNC(F534,0)</f>
        <v>384</v>
      </c>
      <c r="C534" t="s">
        <f>TRUNC((F534-B534)*60,0)</f>
        <v>260</v>
      </c>
      <c r="D534" s="4" t="s">
        <f>ROUND(((F534-B534)-C534/60)*3600,0)</f>
        <v>260</v>
      </c>
      <c r="E534" s="4" t="s">
        <f>E533-(B535+C535/60+D535/3600)</f>
        <v>384</v>
      </c>
      <c r="F534" s="4" t="s">
        <f>IF(E534&gt;0,E534,E534+360)</f>
        <v>384</v>
      </c>
    </row>
    <row r="535">
      <c r="B535">
        <v>180</v>
      </c>
      <c r="C535">
        <v>0</v>
      </c>
      <c r="D535" s="4">
        <v>5</v>
      </c>
    </row>
    <row r="536"/>
    <row r="537">
      <c r="A537" t="s">
        <f>TRVS!A77</f>
        <v>113</v>
      </c>
      <c r="B537" t="s">
        <f>TRUNC(F537,0)</f>
        <v>389</v>
      </c>
      <c r="C537" t="s">
        <f>TRUNC((F537-B537)*60,0)</f>
        <v>247</v>
      </c>
      <c r="D537" s="4" t="s">
        <f>ROUND(((F537-B537)-C537/60)*3600,0)</f>
        <v>158</v>
      </c>
      <c r="E537" s="4" t="s">
        <f>F537</f>
        <v>384</v>
      </c>
      <c r="F537" s="4" t="s">
        <f>I537+J537/60+K537/3600-(H537+G537)/3600</f>
        <v>384</v>
      </c>
      <c r="G537" t="s">
        <f>ROUND(((B535+C535/60+D535/3600)-(B539+C539/60+D539/3600))/2*3600,0)</f>
        <v>312</v>
      </c>
      <c r="H537" t="s">
        <f>H533</f>
        <v>172</v>
      </c>
      <c r="I537" s="4" t="s">
        <f>TRVS!B77</f>
        <v>389</v>
      </c>
      <c r="J537" s="4" t="s">
        <f>TRVS!C77</f>
        <v>198</v>
      </c>
      <c r="K537" s="4" t="s">
        <f>TRVS!D77</f>
        <v>312</v>
      </c>
      <c r="L537" t="s">
        <f>L532</f>
        <v>112</v>
      </c>
      <c r="M537" s="5" t="s">
        <f>TRVS!L77</f>
        <v>390</v>
      </c>
      <c r="N537" t="s">
        <f>A537</f>
        <v>113</v>
      </c>
      <c r="O537" s="3" t="s">
        <f>M537/$M$6</f>
        <v>391</v>
      </c>
    </row>
    <row r="538">
      <c r="B538" t="s">
        <f>TRUNC(F538,0)</f>
        <v>392</v>
      </c>
      <c r="C538" t="s">
        <f>TRUNC((F538-B538)*60,0)</f>
        <v>198</v>
      </c>
      <c r="D538" s="4" t="s">
        <f>ROUND(((F538-B538)-C538/60)*3600,0)</f>
        <v>186</v>
      </c>
      <c r="E538" s="4" t="s">
        <f>E537-(B539+C539/60+D539/3600)</f>
        <v>388</v>
      </c>
      <c r="F538" s="4" t="s">
        <f>IF(E538&gt;0,E538,E538+360)</f>
        <v>387</v>
      </c>
    </row>
    <row r="539">
      <c r="B539">
        <v>179</v>
      </c>
      <c r="C539">
        <v>59</v>
      </c>
      <c r="D539" s="4">
        <v>58</v>
      </c>
    </row>
    <row r="540">
      <c r="K540" t="s">
        <v>167</v>
      </c>
      <c r="L540" t="s">
        <f>A537</f>
        <v>113</v>
      </c>
    </row>
    <row r="541">
      <c r="A541" t="s">
        <f>L532</f>
        <v>112</v>
      </c>
      <c r="B541" t="s">
        <f>TRUNC(F541,0)</f>
        <v>392</v>
      </c>
      <c r="C541" t="s">
        <f>TRUNC((F541-B541)*60,0)</f>
        <v>198</v>
      </c>
      <c r="D541" s="4" t="s">
        <f>ROUND(((F541-B541)-C541/60)*3600,0)</f>
        <v>181</v>
      </c>
      <c r="E541" s="4" t="s">
        <f>F541</f>
        <v>387</v>
      </c>
      <c r="F541" s="4" t="s">
        <f>I541+J541/60+K541/3600-(H541+G541)/3600</f>
        <v>387</v>
      </c>
      <c r="H541">
        <v>1</v>
      </c>
      <c r="I541" s="4" t="s">
        <f>IF(I537&lt;180,I537+180,I537-180)</f>
        <v>392</v>
      </c>
      <c r="J541" s="4" t="s">
        <f>J537</f>
        <v>198</v>
      </c>
      <c r="K541" s="4" t="s">
        <f>K537</f>
        <v>312</v>
      </c>
    </row>
    <row r="542">
      <c r="B542" t="s">
        <f>TRUNC(F542,0)</f>
        <v>389</v>
      </c>
      <c r="C542" t="s">
        <f>TRUNC((F542-B542)*60,0)</f>
        <v>198</v>
      </c>
      <c r="D542" s="4" t="s">
        <f>ROUND(((F542-B542)-C542/60)*3600,0)</f>
        <v>186</v>
      </c>
      <c r="E542" s="4" t="s">
        <f>E541-(B543+C543/60+D543/3600)</f>
        <v>384</v>
      </c>
      <c r="F542" s="4" t="s">
        <f>IF(E542&gt;0,E542,E542+360)</f>
        <v>384</v>
      </c>
    </row>
    <row r="543">
      <c r="B543">
        <v>180</v>
      </c>
      <c r="C543">
        <v>0</v>
      </c>
      <c r="D543" s="4">
        <v>1</v>
      </c>
    </row>
    <row r="544"/>
    <row r="545">
      <c r="A545" t="s">
        <f>TRVS!A78</f>
        <v>114</v>
      </c>
      <c r="B545" t="s">
        <f>TRUNC(F545,0)</f>
        <v>393</v>
      </c>
      <c r="C545" t="s">
        <f>TRUNC((F545-B545)*60,0)</f>
        <v>394</v>
      </c>
      <c r="D545" s="4" t="s">
        <f>ROUND(((F545-B545)-C545/60)*3600,0)</f>
        <v>158</v>
      </c>
      <c r="E545" s="4" t="s">
        <f>F545</f>
        <v>393</v>
      </c>
      <c r="F545" s="4" t="s">
        <f>I545+J545/60+K545/3600-(H545+G545)/3600</f>
        <v>393</v>
      </c>
      <c r="G545" t="s">
        <f>ROUND(((B543+C543/60+D543/3600)-(B547+C547/60+D547/3600))/2*3600,0)</f>
        <v>208</v>
      </c>
      <c r="H545" t="s">
        <f>H541</f>
        <v>208</v>
      </c>
      <c r="I545" s="4" t="s">
        <f>TRVS!B78</f>
        <v>393</v>
      </c>
      <c r="J545" s="4" t="s">
        <f>TRVS!C78</f>
        <v>194</v>
      </c>
      <c r="K545" s="4" t="s">
        <f>TRVS!D78</f>
        <v>186</v>
      </c>
      <c r="L545" t="s">
        <f>L540</f>
        <v>113</v>
      </c>
      <c r="M545" s="5" t="s">
        <f>TRVS!L78</f>
        <v>395</v>
      </c>
      <c r="N545" t="s">
        <f>A545</f>
        <v>114</v>
      </c>
      <c r="O545" s="3" t="s">
        <f>M545/$M$6</f>
        <v>396</v>
      </c>
    </row>
    <row r="546">
      <c r="B546" t="s">
        <f>TRUNC(F546,0)</f>
        <v>397</v>
      </c>
      <c r="C546" t="s">
        <f>TRUNC((F546-B546)*60,0)</f>
        <v>194</v>
      </c>
      <c r="D546" s="4" t="s">
        <f>ROUND(((F546-B546)-C546/60)*3600,0)</f>
        <v>186</v>
      </c>
      <c r="E546" s="4" t="s">
        <f>E545-(B547+C547/60+D547/3600)</f>
        <v>398</v>
      </c>
      <c r="F546" s="4" t="s">
        <f>IF(E546&gt;0,E546,E546+360)</f>
        <v>397</v>
      </c>
    </row>
    <row r="547">
      <c r="B547">
        <v>179</v>
      </c>
      <c r="C547">
        <v>59</v>
      </c>
      <c r="D547" s="4">
        <v>58</v>
      </c>
    </row>
    <row r="548">
      <c r="K548" t="s">
        <v>167</v>
      </c>
      <c r="L548" t="s">
        <f>A545</f>
        <v>114</v>
      </c>
    </row>
    <row r="549">
      <c r="A549" t="s">
        <f>L540</f>
        <v>113</v>
      </c>
      <c r="B549" t="s">
        <f>TRUNC(F549,0)</f>
        <v>397</v>
      </c>
      <c r="C549" t="s">
        <f>TRUNC((F549-B549)*60,0)</f>
        <v>194</v>
      </c>
      <c r="D549" s="4" t="s">
        <f>ROUND(((F549-B549)-C549/60)*3600,0)</f>
        <v>208</v>
      </c>
      <c r="E549" s="4" t="s">
        <f>F549</f>
        <v>397</v>
      </c>
      <c r="F549" s="4" t="s">
        <f>I549+J549/60+K549/3600-(H549+G549)/3600</f>
        <v>397</v>
      </c>
      <c r="H549">
        <v>1</v>
      </c>
      <c r="I549" s="4" t="s">
        <f>IF(I545&lt;180,I545+180,I545-180)</f>
        <v>397</v>
      </c>
      <c r="J549" s="4" t="s">
        <f>J545</f>
        <v>194</v>
      </c>
      <c r="K549" s="4" t="s">
        <f>K545</f>
        <v>186</v>
      </c>
    </row>
    <row r="550">
      <c r="B550" t="s">
        <f>TRUNC(F550,0)</f>
        <v>393</v>
      </c>
      <c r="C550" t="s">
        <f>TRUNC((F550-B550)*60,0)</f>
        <v>394</v>
      </c>
      <c r="D550" s="4" t="s">
        <f>ROUND(((F550-B550)-C550/60)*3600,0)</f>
        <v>158</v>
      </c>
      <c r="E550" s="4" t="s">
        <f>E549-(B551+C551/60+D551/3600)</f>
        <v>393</v>
      </c>
      <c r="F550" s="4" t="s">
        <f>IF(E550&gt;0,E550,E550+360)</f>
        <v>393</v>
      </c>
    </row>
    <row r="551">
      <c r="B551">
        <v>180</v>
      </c>
      <c r="C551">
        <v>0</v>
      </c>
      <c r="D551" s="4">
        <v>1</v>
      </c>
    </row>
    <row r="552"/>
    <row r="553">
      <c r="A553" t="s">
        <f>TRVS!A79</f>
        <v>120</v>
      </c>
      <c r="B553" t="s">
        <f>TRUNC(F553,0)</f>
        <v>188</v>
      </c>
      <c r="C553" t="s">
        <f>TRUNC((F553-B553)*60,0)</f>
        <v>312</v>
      </c>
      <c r="D553" s="4" t="s">
        <f>ROUND(((F553-B553)-C553/60)*3600,0)</f>
        <v>247</v>
      </c>
      <c r="E553" s="4" t="s">
        <f>F553</f>
        <v>188</v>
      </c>
      <c r="F553" s="4" t="s">
        <f>I553+J553/60+K553/3600-(H553+G553)/3600</f>
        <v>188</v>
      </c>
      <c r="G553" t="s">
        <f>ROUND(((B551+C551/60+D551/3600)-(B555+C555/60+D555/3600))/2*3600,0)</f>
        <v>208</v>
      </c>
      <c r="H553" t="s">
        <f>H549</f>
        <v>208</v>
      </c>
      <c r="I553" s="4" t="s">
        <f>TRVS!B79</f>
        <v>188</v>
      </c>
      <c r="J553" s="4" t="s">
        <f>TRVS!C79</f>
        <v>312</v>
      </c>
      <c r="K553" s="4" t="s">
        <f>TRVS!D79</f>
        <v>200</v>
      </c>
      <c r="L553" t="s">
        <f>L548</f>
        <v>114</v>
      </c>
      <c r="M553" s="5" t="s">
        <f>TRVS!L79</f>
        <v>399</v>
      </c>
      <c r="N553" t="s">
        <f>A553</f>
        <v>120</v>
      </c>
      <c r="O553" s="3" t="s">
        <f>M553/$M$6</f>
        <v>400</v>
      </c>
    </row>
    <row r="554">
      <c r="B554" t="s">
        <f>TRUNC(F554,0)</f>
        <v>180</v>
      </c>
      <c r="C554" t="s">
        <f>TRUNC((F554-B554)*60,0)</f>
        <v>312</v>
      </c>
      <c r="D554" s="4" t="s">
        <f>ROUND(((F554-B554)-C554/60)*3600,0)</f>
        <v>200</v>
      </c>
      <c r="E554" s="4" t="s">
        <f>E553-(B555+C555/60+D555/3600)</f>
        <v>180</v>
      </c>
      <c r="F554" s="4" t="s">
        <f>IF(E554&gt;0,E554,E554+360)</f>
        <v>180</v>
      </c>
    </row>
    <row r="555">
      <c r="B555">
        <v>179</v>
      </c>
      <c r="C555">
        <v>59</v>
      </c>
      <c r="D555" s="4">
        <v>58</v>
      </c>
    </row>
    <row r="556">
      <c r="K556" t="s">
        <v>167</v>
      </c>
      <c r="L556" t="s">
        <f>A553</f>
        <v>120</v>
      </c>
    </row>
    <row r="557">
      <c r="A557" t="s">
        <f>L548</f>
        <v>114</v>
      </c>
      <c r="B557" t="s">
        <f>TRUNC(F557,0)</f>
        <v>180</v>
      </c>
      <c r="C557" t="s">
        <f>TRUNC((F557-B557)*60,0)</f>
        <v>312</v>
      </c>
      <c r="D557" s="4" t="s">
        <f>ROUND(((F557-B557)-C557/60)*3600,0)</f>
        <v>198</v>
      </c>
      <c r="E557" s="4" t="s">
        <f>F557</f>
        <v>180</v>
      </c>
      <c r="F557" s="4" t="s">
        <f>I557+J557/60+K557/3600-(H557+G557)/3600</f>
        <v>180</v>
      </c>
      <c r="H557">
        <v>1</v>
      </c>
      <c r="I557" s="4" t="s">
        <f>IF(I553&lt;180,I553+180,I553-180)</f>
        <v>180</v>
      </c>
      <c r="J557" s="4" t="s">
        <f>J553</f>
        <v>312</v>
      </c>
      <c r="K557" s="4" t="s">
        <f>K553</f>
        <v>200</v>
      </c>
    </row>
    <row r="558">
      <c r="B558" t="s">
        <f>TRUNC(F558,0)</f>
        <v>188</v>
      </c>
      <c r="C558" t="s">
        <f>TRUNC((F558-B558)*60,0)</f>
        <v>312</v>
      </c>
      <c r="D558" s="4" t="s">
        <f>ROUND(((F558-B558)-C558/60)*3600,0)</f>
        <v>247</v>
      </c>
      <c r="E558" s="4" t="s">
        <f>E557-(B559+C559/60+D559/3600)</f>
        <v>187</v>
      </c>
      <c r="F558" s="4" t="s">
        <f>IF(E558&gt;0,E558,E558+360)</f>
        <v>188</v>
      </c>
    </row>
    <row r="559">
      <c r="B559">
        <v>180</v>
      </c>
      <c r="C559">
        <v>0</v>
      </c>
      <c r="D559" s="4">
        <v>1</v>
      </c>
    </row>
    <row r="560">
      <c r="A560" t="s">
        <f>TRVS!A80</f>
        <v>118</v>
      </c>
      <c r="B560" t="s">
        <f>TRUNC(F560,0)</f>
        <v>152</v>
      </c>
      <c r="C560" t="s">
        <f>TRUNC((F560-B560)*60,0)</f>
        <v>143</v>
      </c>
      <c r="D560" s="4" t="s">
        <f>ROUND(((F560-B560)-C560/60)*3600,0)</f>
        <v>251</v>
      </c>
      <c r="E560" s="4" t="s">
        <f>F560</f>
        <v>401</v>
      </c>
      <c r="F560" s="4" t="s">
        <f>I560+J560/60+K560/3600-(H560+G560)/3600</f>
        <v>401</v>
      </c>
      <c r="H560">
        <v>1</v>
      </c>
      <c r="I560" s="4" t="s">
        <f>TRVS!B80</f>
        <v>152</v>
      </c>
      <c r="J560" s="4" t="s">
        <f>TRVS!C80</f>
        <v>143</v>
      </c>
      <c r="K560" s="4" t="s">
        <f>TRVS!D80</f>
        <v>247</v>
      </c>
    </row>
    <row r="561">
      <c r="B561" t="s">
        <f>TRUNC(F561,0)</f>
        <v>402</v>
      </c>
      <c r="C561" t="s">
        <f>TRUNC((F561-B561)*60,0)</f>
        <v>143</v>
      </c>
      <c r="D561" s="4" t="s">
        <f>ROUND(((F561-B561)-C561/60)*3600,0)</f>
        <v>235</v>
      </c>
      <c r="E561" s="4" t="s">
        <f>E560-(B562+C562/60+D562/3600)</f>
        <v>403</v>
      </c>
      <c r="F561" s="4" t="s">
        <f>IF(E561&gt;0,E561,E561+360)</f>
        <v>404</v>
      </c>
    </row>
    <row r="562">
      <c r="B562">
        <v>180</v>
      </c>
      <c r="C562">
        <v>0</v>
      </c>
      <c r="D562" s="4">
        <v>1</v>
      </c>
    </row>
    <row r="563"/>
    <row r="564">
      <c r="A564" t="s">
        <f>TRVS!A81</f>
        <v>116</v>
      </c>
      <c r="B564" t="s">
        <f>TRUNC(F564,0)</f>
        <v>158</v>
      </c>
      <c r="C564" t="s">
        <f>TRUNC((F564-B564)*60,0)</f>
        <v>133</v>
      </c>
      <c r="D564" s="4" t="s">
        <f>ROUND(((F564-B564)-C564/60)*3600,0)</f>
        <v>267</v>
      </c>
      <c r="E564" s="4" t="s">
        <f>F564</f>
        <v>158</v>
      </c>
      <c r="F564" s="4" t="s">
        <f>I564+J564/60+K564/3600-(H564+G564)/3600</f>
        <v>158</v>
      </c>
      <c r="G564" t="s">
        <f>ROUND(((B562+C562/60+D562/3600)-(B566+C566/60+D566/3600))/2*3600,0)</f>
        <v>208</v>
      </c>
      <c r="H564" t="s">
        <f>H560</f>
        <v>208</v>
      </c>
      <c r="I564" s="4" t="s">
        <f>TRVS!B81</f>
        <v>158</v>
      </c>
      <c r="J564" s="4" t="s">
        <f>TRVS!C81</f>
        <v>133</v>
      </c>
      <c r="K564" s="4" t="s">
        <f>TRVS!D81</f>
        <v>233</v>
      </c>
    </row>
    <row r="565">
      <c r="B565" t="s">
        <f>TRUNC(F565,0)</f>
        <v>405</v>
      </c>
      <c r="C565" t="s">
        <f>TRUNC((F565-B565)*60,0)</f>
        <v>133</v>
      </c>
      <c r="D565" s="4" t="s">
        <f>ROUND(((F565-B565)-C565/60)*3600,0)</f>
        <v>233</v>
      </c>
      <c r="E565" s="4" t="s">
        <f>E564-(B566+C566/60+D566/3600)</f>
        <v>406</v>
      </c>
      <c r="F565" s="4" t="s">
        <f>IF(E565&gt;0,E565,E565+360)</f>
        <v>405</v>
      </c>
    </row>
    <row r="566">
      <c r="B566">
        <v>179</v>
      </c>
      <c r="C566">
        <v>59</v>
      </c>
      <c r="D566" s="4">
        <v>58</v>
      </c>
    </row>
    <row r="567">
      <c r="A567" t="s">
        <v>407</v>
      </c>
    </row>
  </sheetData>
  <mergeCells count="8">
    <mergeCell ref="B7:F7"/>
    <mergeCell ref="I7:K7"/>
    <mergeCell ref="G7:H7"/>
    <mergeCell ref="A5:O5"/>
    <mergeCell ref="A567:O567"/>
    <mergeCell ref="B1:F1"/>
    <mergeCell ref="G1:H1"/>
    <mergeCell ref="I1:K1"/>
  </mergeCells>
  <pageMargins left="0.7" right="0.7" top="0.75" bottom="0.75" header="0" footer="0"/>
  <ignoredErrors>
    <ignoredError numberStoredAsText="1" sqref="A1:O5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252"/>
  <sheetViews>
    <sheetView workbookViewId="0" rightToLeft="0"/>
  </sheetViews>
  <cols>
    <col min="1" max="1" customWidth="1" width="10.71"/>
    <col min="2" max="2" customWidth="1" width="4.71"/>
    <col min="3" max="3" customWidth="1" width="3.71"/>
    <col min="4" max="4" customWidth="1" width="3.57"/>
    <col min="5" max="5" customWidth="1" width="5.29"/>
    <col min="6" max="6" customWidth="1" width="7.86" hidden="true"/>
    <col min="7" max="7" customWidth="1" width="6"/>
    <col min="8" max="8" customWidth="1" width="5.57"/>
    <col min="9" max="9" customWidth="1" width="4.86"/>
    <col min="10" max="10" customWidth="1" width="7.86" hidden="true"/>
    <col min="11" max="11" customWidth="1" width="5.43" hidden="true"/>
    <col min="12" max="12" customWidth="1" width="13"/>
    <col min="13" max="13" customWidth="1" width="13.43" hidden="true"/>
    <col min="14" max="14" customWidth="1" width="11.29"/>
    <col min="15" max="15" customWidth="1" width="13.29" hidden="true"/>
    <col min="16" max="16" customWidth="1" width="7.14"/>
    <col min="17" max="17" customWidth="1" width="12.86"/>
    <col min="18" max="18" customWidth="1" width="7.86"/>
    <col min="19" max="19" customWidth="1" width="10.29"/>
    <col min="20" max="20" customWidth="1" width="11.57"/>
    <col min="21" max="21" customWidth="1" width="11.29"/>
    <col min="22" max="22" customWidth="1" width="14.86"/>
    <col min="23" max="23" customWidth="1" width="7.57"/>
    <col min="24" max="24" customWidth="1" width="7.86"/>
    <col min="25" max="25" customWidth="1" width="7.57"/>
    <col min="26" max="26" customWidth="1" width="7.57"/>
    <col min="27" max="27" customWidth="1" width="9.29"/>
    <col min="28" max="28" customWidth="1" width="10.43"/>
    <col min="29" max="29" customWidth="1" width="10.43"/>
    <col min="30" max="30" customWidth="1" width="7.57"/>
  </cols>
  <sheetData>
    <row r="1">
      <c r="A1" t="s">
        <v>45</v>
      </c>
      <c r="B1" s="4" t="s">
        <v>163</v>
      </c>
      <c r="E1" s="4" t="s">
        <v>162</v>
      </c>
      <c r="G1" s="4" t="s">
        <v>408</v>
      </c>
      <c r="L1" s="2" t="s">
        <v>409</v>
      </c>
      <c r="N1" s="3" t="s">
        <v>410</v>
      </c>
      <c r="P1" s="3" t="s">
        <v>162</v>
      </c>
      <c r="Q1" s="3" t="s">
        <v>411</v>
      </c>
      <c r="R1" s="3" t="s">
        <v>162</v>
      </c>
      <c r="S1" t="s">
        <v>45</v>
      </c>
      <c r="T1" s="2" t="s">
        <v>412</v>
      </c>
      <c r="U1" s="2" t="s">
        <v>413</v>
      </c>
      <c r="V1" t="s">
        <v>414</v>
      </c>
    </row>
    <row r="2"/>
    <row r="3"/>
    <row r="4"/>
    <row r="5">
      <c r="D5" t="s">
        <v>415</v>
      </c>
    </row>
    <row r="6">
      <c r="A6" t="s">
        <v>416</v>
      </c>
    </row>
    <row r="7">
      <c r="A7" t="s">
        <v>417</v>
      </c>
    </row>
    <row r="8">
      <c r="A8" t="s">
        <v>45</v>
      </c>
      <c r="B8" s="4" t="s">
        <v>163</v>
      </c>
      <c r="E8" s="4" t="s">
        <v>162</v>
      </c>
      <c r="G8" s="4" t="s">
        <v>408</v>
      </c>
      <c r="L8" s="2" t="s">
        <v>409</v>
      </c>
      <c r="N8" s="3" t="s">
        <v>410</v>
      </c>
      <c r="O8" s="3" t="s">
        <v>418</v>
      </c>
      <c r="P8" s="3" t="s">
        <v>162</v>
      </c>
      <c r="Q8" s="3" t="s">
        <v>411</v>
      </c>
      <c r="R8" s="3" t="s">
        <v>162</v>
      </c>
      <c r="S8" t="s">
        <v>45</v>
      </c>
      <c r="T8" s="2" t="s">
        <v>412</v>
      </c>
      <c r="U8" s="2" t="s">
        <v>413</v>
      </c>
      <c r="V8" t="s">
        <v>414</v>
      </c>
    </row>
    <row r="9">
      <c r="A9" t="s">
        <f>DTM!A12</f>
        <v>116</v>
      </c>
      <c r="B9" s="4" t="s">
        <f>TRUNC(F9,0)</f>
        <v>133</v>
      </c>
      <c r="C9" s="4" t="s">
        <f>TRUNC((F9-B9)*60,0)</f>
        <v>134</v>
      </c>
      <c r="D9" s="4" t="s">
        <f>ROUND((F9-B9-C9/60)*3600,0)</f>
        <v>135</v>
      </c>
      <c r="E9" s="4">
        <v>0</v>
      </c>
      <c r="F9" s="4" t="s">
        <f>G9+H9/60+I9/3600-E9/3600</f>
        <v>133</v>
      </c>
      <c r="G9" s="4" t="s">
        <f>DTM!H13</f>
        <v>133</v>
      </c>
      <c r="H9" s="4" t="s">
        <f>DTM!I13</f>
        <v>134</v>
      </c>
      <c r="I9" s="4" t="s">
        <f>DTM!J13</f>
        <v>135</v>
      </c>
      <c r="S9" t="s">
        <f>A9</f>
        <v>116</v>
      </c>
      <c r="V9" t="s">
        <f>DTM!D4</f>
        <v>117</v>
      </c>
    </row>
    <row r="10">
      <c r="A10" t="s">
        <f>DTM!A15</f>
        <v>118</v>
      </c>
      <c r="B10" s="4" t="s">
        <f>TRUNC(F10,0)</f>
        <v>142</v>
      </c>
      <c r="C10" s="4" t="s">
        <f>TRUNC((F10-B10)*60,0)</f>
        <v>143</v>
      </c>
      <c r="D10" s="4" t="s">
        <f>ROUND((F10-B10-C10/60)*3600,0)</f>
        <v>144</v>
      </c>
      <c r="E10" s="4">
        <v>0</v>
      </c>
      <c r="F10" s="4" t="s">
        <f>G10+H10/60+I10/3600-E10/3600</f>
        <v>171</v>
      </c>
      <c r="G10" s="4" t="s">
        <f>DTM!H16</f>
        <v>142</v>
      </c>
      <c r="H10" s="4" t="s">
        <f>DTM!I16</f>
        <v>143</v>
      </c>
      <c r="I10" s="4" t="s">
        <f>DTM!J16</f>
        <v>144</v>
      </c>
      <c r="S10" t="s">
        <f>A10</f>
        <v>118</v>
      </c>
      <c r="V10" t="s">
        <f>DTM!D5</f>
        <v>117</v>
      </c>
    </row>
    <row r="11">
      <c r="A11" t="s">
        <f>S11</f>
        <v>119</v>
      </c>
      <c r="E11" s="4" t="s">
        <f>AVERAGE(E9:E10)</f>
        <v>172</v>
      </c>
      <c r="O11" s="3" t="s">
        <v>419</v>
      </c>
      <c r="S11" t="s">
        <f>DTM!A13</f>
        <v>119</v>
      </c>
      <c r="T11" s="3" t="s">
        <f>DTM!B13</f>
        <v>128</v>
      </c>
      <c r="U11" s="3" t="s">
        <f>DTM!C13</f>
        <v>129</v>
      </c>
      <c r="V11" t="s">
        <f>DTM!D6</f>
        <v>117</v>
      </c>
    </row>
    <row r="12">
      <c r="A12" t="s">
        <f>S12</f>
        <v>48</v>
      </c>
      <c r="B12" s="4" t="s">
        <f>TRUNC(F12,0)</f>
        <v>177</v>
      </c>
      <c r="C12" s="4" t="s">
        <f>TRUNC((F12-B12)*60,0)</f>
        <v>178</v>
      </c>
      <c r="D12" s="4" t="s">
        <f>ROUND((F12-B12-C12/60)*3600,0)</f>
        <v>158</v>
      </c>
      <c r="E12" s="4" t="s">
        <f>E84</f>
        <v>208</v>
      </c>
      <c r="F12" s="4" t="s">
        <f>G12+H12/60+I12/3600-E12/3600</f>
        <v>180</v>
      </c>
      <c r="G12" s="4" t="s">
        <f>TRUNC(J12,0)</f>
        <v>177</v>
      </c>
      <c r="H12" s="4" t="s">
        <f>TRUNC((J12-G12)*60,0)</f>
        <v>185</v>
      </c>
      <c r="I12" s="4" t="s">
        <f>ROUND(((J12-G12)-H12/60)*3600,0)</f>
        <v>208</v>
      </c>
      <c r="J12" s="4" t="s">
        <f>IF(K12&lt;0,K12+360,K12)</f>
        <v>180</v>
      </c>
      <c r="K12" s="4" t="s">
        <f>ATAN2(N12,Q12)/PI()*180</f>
        <v>180</v>
      </c>
      <c r="L12" s="3" t="s">
        <f>ROUND((SQRT(N12^2+Q12^2)),5)</f>
        <v>182</v>
      </c>
      <c r="M12" s="3" t="s">
        <f>SQRT((T12-T11)^2+(U12-U11)^2)</f>
        <v>420</v>
      </c>
      <c r="N12" s="3" t="s">
        <f>T12-T11-P12</f>
        <v>421</v>
      </c>
      <c r="O12" s="3">
        <v>288.12157</v>
      </c>
      <c r="P12" s="3" t="s">
        <f>ROUND(($T$82*$O12/$O$80),3)</f>
        <v>422</v>
      </c>
      <c r="Q12" s="3" t="s">
        <f>U12-U11-R12</f>
        <v>423</v>
      </c>
      <c r="R12" s="3" t="s">
        <f>ROUND(($U$82*$O12/$O$80),3)</f>
        <v>424</v>
      </c>
      <c r="S12" t="s">
        <v>48</v>
      </c>
      <c r="T12" s="3">
        <v>45895.954</v>
      </c>
      <c r="U12" s="3">
        <v>210949.513</v>
      </c>
    </row>
    <row r="13">
      <c r="A13" t="s">
        <f>S13</f>
        <v>49</v>
      </c>
      <c r="B13" s="4" t="s">
        <f>TRUNC(F13,0)</f>
        <v>192</v>
      </c>
      <c r="C13" s="4" t="s">
        <f>TRUNC((F13-B13)*60,0)</f>
        <v>193</v>
      </c>
      <c r="D13" s="4" t="s">
        <f>ROUND((F13-B13-C13/60)*3600,0)</f>
        <v>133</v>
      </c>
      <c r="E13" s="4" t="s">
        <f>E12+E$84</f>
        <v>186</v>
      </c>
      <c r="F13" s="4" t="s">
        <f>G13+H13/60+I13/3600-E13/3600</f>
        <v>173</v>
      </c>
      <c r="G13" s="4" t="s">
        <f>TRUNC(J13,0)</f>
        <v>192</v>
      </c>
      <c r="H13" s="4" t="s">
        <f>TRUNC((J13-G13)*60,0)</f>
        <v>193</v>
      </c>
      <c r="I13" s="4" t="s">
        <f>ROUND(((J13-G13)-H13/60)*3600,0)</f>
        <v>169</v>
      </c>
      <c r="J13" s="4" t="s">
        <f>IF(K13&lt;0,K13+360,K13)</f>
        <v>173</v>
      </c>
      <c r="K13" s="4" t="s">
        <f>ATAN2(N13,Q13)/PI()*180</f>
        <v>203</v>
      </c>
      <c r="L13" s="3" t="s">
        <f>ROUND((SQRT(N13^2+Q13^2)),5)</f>
        <v>196</v>
      </c>
      <c r="M13" s="3" t="s">
        <f>SQRT((T13-T12)^2+(U13-U12)^2)</f>
        <v>425</v>
      </c>
      <c r="N13" s="3" t="s">
        <f>T13-T12-P13</f>
        <v>426</v>
      </c>
      <c r="O13" s="3">
        <v>30.45531</v>
      </c>
      <c r="P13" s="3" t="s">
        <f>ROUND(($T$82*$O13/$O$80),3)</f>
        <v>427</v>
      </c>
      <c r="Q13" s="3" t="s">
        <f>U13-U12-R13</f>
        <v>428</v>
      </c>
      <c r="R13" s="3" t="s">
        <f>ROUND(($U$82*$O13/$O$80),3)</f>
        <v>427</v>
      </c>
      <c r="S13" t="s">
        <v>49</v>
      </c>
      <c r="T13" s="3">
        <v>45877.617999999995</v>
      </c>
      <c r="U13" s="3">
        <v>210925.20500000002</v>
      </c>
    </row>
    <row r="14">
      <c r="A14" t="s">
        <f>S14</f>
        <v>50</v>
      </c>
      <c r="B14" s="4" t="s">
        <f>TRUNC(F14,0)</f>
        <v>204</v>
      </c>
      <c r="C14" s="4" t="s">
        <f>TRUNC((F14-B14)*60,0)</f>
        <v>205</v>
      </c>
      <c r="D14" s="4" t="s">
        <f>ROUND((F14-B14-C14/60)*3600,0)</f>
        <v>209</v>
      </c>
      <c r="E14" s="4" t="s">
        <f>E13+E$84</f>
        <v>181</v>
      </c>
      <c r="F14" s="4" t="s">
        <f>G14+H14/60+I14/3600-E14/3600</f>
        <v>206</v>
      </c>
      <c r="G14" s="4" t="s">
        <f>TRUNC(J14,0)</f>
        <v>204</v>
      </c>
      <c r="H14" s="4" t="s">
        <f>TRUNC((J14-G14)*60,0)</f>
        <v>205</v>
      </c>
      <c r="I14" s="4" t="s">
        <f>ROUND(((J14-G14)-H14/60)*3600,0)</f>
        <v>193</v>
      </c>
      <c r="J14" s="4" t="s">
        <f>IF(K14&lt;0,K14+360,K14)</f>
        <v>206</v>
      </c>
      <c r="K14" s="4" t="s">
        <f>ATAN2(N14,Q14)/PI()*180</f>
        <v>215</v>
      </c>
      <c r="L14" s="3" t="s">
        <f>ROUND((SQRT(N14^2+Q14^2)),5)</f>
        <v>210</v>
      </c>
      <c r="M14" s="3" t="s">
        <f>SQRT((T14-T13)^2+(U14-U13)^2)</f>
        <v>210</v>
      </c>
      <c r="N14" s="3" t="s">
        <f>T14-T13-P14</f>
        <v>429</v>
      </c>
      <c r="O14" s="3">
        <v>8.73396</v>
      </c>
      <c r="P14" s="3" t="s">
        <f>ROUND(($T$82*$O14/$O$80),3)</f>
        <v>430</v>
      </c>
      <c r="Q14" s="3" t="s">
        <f>U14-U13-R14</f>
        <v>431</v>
      </c>
      <c r="R14" s="3" t="s">
        <f>ROUND(($U$82*$O14/$O$80),3)</f>
        <v>430</v>
      </c>
      <c r="S14" t="s">
        <v>50</v>
      </c>
      <c r="T14" s="3">
        <v>45870.528999999995</v>
      </c>
      <c r="U14" s="3">
        <v>210920.108</v>
      </c>
    </row>
    <row r="15">
      <c r="A15" t="s">
        <f>S15</f>
        <v>51</v>
      </c>
      <c r="B15" s="4" t="s">
        <f>TRUNC(F15,0)</f>
        <v>216</v>
      </c>
      <c r="C15" s="4" t="s">
        <f>TRUNC((F15-B15)*60,0)</f>
        <v>217</v>
      </c>
      <c r="D15" s="4" t="s">
        <f>ROUND((F15-B15-C15/60)*3600,0)</f>
        <v>219</v>
      </c>
      <c r="E15" s="4" t="s">
        <f>E14+E$84</f>
        <v>312</v>
      </c>
      <c r="F15" s="4" t="s">
        <f>G15+H15/60+I15/3600-E15/3600</f>
        <v>216</v>
      </c>
      <c r="G15" s="4" t="s">
        <f>TRUNC(J15,0)</f>
        <v>216</v>
      </c>
      <c r="H15" s="4" t="s">
        <f>TRUNC((J15-G15)*60,0)</f>
        <v>217</v>
      </c>
      <c r="I15" s="4" t="s">
        <f>ROUND(((J15-G15)-H15/60)*3600,0)</f>
        <v>194</v>
      </c>
      <c r="J15" s="4" t="s">
        <f>IF(K15&lt;0,K15+360,K15)</f>
        <v>216</v>
      </c>
      <c r="K15" s="4" t="s">
        <f>ATAN2(N15,Q15)/PI()*180</f>
        <v>216</v>
      </c>
      <c r="L15" s="3" t="s">
        <f>ROUND((SQRT(N15^2+Q15^2)),5)</f>
        <v>220</v>
      </c>
      <c r="M15" s="3" t="s">
        <f>SQRT((T15-T14)^2+(U15-U14)^2)</f>
        <v>220</v>
      </c>
      <c r="N15" s="3" t="s">
        <f>T15-T14-P15</f>
        <v>432</v>
      </c>
      <c r="O15" s="3">
        <v>46.55123</v>
      </c>
      <c r="P15" s="3" t="s">
        <f>ROUND(($T$82*$O15/$O$80),3)</f>
        <v>427</v>
      </c>
      <c r="Q15" s="3" t="s">
        <f>U15-U14-R15</f>
        <v>433</v>
      </c>
      <c r="R15" s="3" t="s">
        <f>ROUND(($U$82*$O15/$O$80),3)</f>
        <v>434</v>
      </c>
      <c r="S15" t="s">
        <v>51</v>
      </c>
      <c r="T15" s="3">
        <v>45832.708999999995</v>
      </c>
      <c r="U15" s="3">
        <v>210947.25</v>
      </c>
    </row>
    <row r="16">
      <c r="A16" t="s">
        <f>S16</f>
        <v>52</v>
      </c>
      <c r="B16" s="4" t="s">
        <f>TRUNC(F16,0)</f>
        <v>225</v>
      </c>
      <c r="C16" s="4" t="s">
        <f>TRUNC((F16-B16)*60,0)</f>
        <v>169</v>
      </c>
      <c r="D16" s="4" t="s">
        <f>ROUND((F16-B16-C16/60)*3600,0)</f>
        <v>226</v>
      </c>
      <c r="E16" s="4" t="s">
        <f>E15+E$84</f>
        <v>226</v>
      </c>
      <c r="F16" s="4" t="s">
        <f>G16+H16/60+I16/3600-E16/3600</f>
        <v>225</v>
      </c>
      <c r="G16" s="4" t="s">
        <f>TRUNC(J16,0)</f>
        <v>225</v>
      </c>
      <c r="H16" s="4" t="s">
        <f>TRUNC((J16-G16)*60,0)</f>
        <v>169</v>
      </c>
      <c r="I16" s="4" t="s">
        <f>ROUND(((J16-G16)-H16/60)*3600,0)</f>
        <v>199</v>
      </c>
      <c r="J16" s="4" t="s">
        <f>IF(K16&lt;0,K16+360,K16)</f>
        <v>225</v>
      </c>
      <c r="K16" s="4" t="s">
        <f>ATAN2(N16,Q16)/PI()*180</f>
        <v>225</v>
      </c>
      <c r="L16" s="3" t="s">
        <f>ROUND((SQRT(N16^2+Q16^2)),5)</f>
        <v>227</v>
      </c>
      <c r="M16" s="3" t="s">
        <f>SQRT((T16-T15)^2+(U16-U15)^2)</f>
        <v>227</v>
      </c>
      <c r="N16" s="3" t="s">
        <f>T16-T15-P16</f>
        <v>435</v>
      </c>
      <c r="O16" s="3">
        <v>10.09139</v>
      </c>
      <c r="P16" s="3" t="s">
        <f>ROUND(($T$82*$O16/$O$80),3)</f>
        <v>430</v>
      </c>
      <c r="Q16" s="3" t="s">
        <f>U16-U15-R16</f>
        <v>436</v>
      </c>
      <c r="R16" s="3" t="s">
        <f>ROUND(($U$82*$O16/$O$80),3)</f>
        <v>430</v>
      </c>
      <c r="S16" t="s">
        <v>52</v>
      </c>
      <c r="T16" s="3">
        <v>45825.057</v>
      </c>
      <c r="U16" s="3">
        <v>210953.831</v>
      </c>
    </row>
    <row r="17">
      <c r="A17" t="s">
        <f>S17</f>
        <v>53</v>
      </c>
      <c r="B17" s="4" t="s">
        <f>TRUNC(F17,0)</f>
        <v>232</v>
      </c>
      <c r="C17" s="4" t="s">
        <f>TRUNC((F17-B17)*60,0)</f>
        <v>193</v>
      </c>
      <c r="D17" s="4" t="s">
        <f>ROUND((F17-B17-C17/60)*3600,0)</f>
        <v>235</v>
      </c>
      <c r="E17" s="4" t="s">
        <f>E16+E$84</f>
        <v>230</v>
      </c>
      <c r="F17" s="4" t="s">
        <f>G17+H17/60+I17/3600-E17/3600</f>
        <v>234</v>
      </c>
      <c r="G17" s="4" t="s">
        <f>TRUNC(J17,0)</f>
        <v>232</v>
      </c>
      <c r="H17" s="4" t="s">
        <f>TRUNC((J17-G17)*60,0)</f>
        <v>193</v>
      </c>
      <c r="I17" s="4" t="s">
        <f>ROUND(((J17-G17)-H17/60)*3600,0)</f>
        <v>214</v>
      </c>
      <c r="J17" s="4" t="s">
        <f>IF(K17&lt;0,K17+360,K17)</f>
        <v>234</v>
      </c>
      <c r="K17" s="4" t="s">
        <f>ATAN2(N17,Q17)/PI()*180</f>
        <v>239</v>
      </c>
      <c r="L17" s="3" t="s">
        <f>ROUND((SQRT(N17^2+Q17^2)),5)</f>
        <v>236</v>
      </c>
      <c r="M17" s="3" t="s">
        <f>SQRT((T17-T16)^2+(U17-U16)^2)</f>
        <v>236</v>
      </c>
      <c r="N17" s="3" t="s">
        <f>T17-T16-P17</f>
        <v>437</v>
      </c>
      <c r="O17" s="3">
        <v>14.76058</v>
      </c>
      <c r="P17" s="3" t="s">
        <f>ROUND(($T$82*$O17/$O$80),3)</f>
        <v>430</v>
      </c>
      <c r="Q17" s="3" t="s">
        <f>U17-U16-R17</f>
        <v>438</v>
      </c>
      <c r="R17" s="3" t="s">
        <f>ROUND(($U$82*$O17/$O$80),3)</f>
        <v>427</v>
      </c>
      <c r="S17" t="s">
        <v>53</v>
      </c>
      <c r="T17" s="3">
        <v>45815.564</v>
      </c>
      <c r="U17" s="3">
        <v>210942.528</v>
      </c>
    </row>
    <row r="18">
      <c r="A18" t="s">
        <f>S18</f>
        <v>54</v>
      </c>
      <c r="B18" s="4" t="s">
        <f>TRUNC(F18,0)</f>
        <v>240</v>
      </c>
      <c r="C18" s="4" t="s">
        <f>TRUNC((F18-B18)*60,0)</f>
        <v>133</v>
      </c>
      <c r="D18" s="4" t="s">
        <f>ROUND((F18-B18-C18/60)*3600,0)</f>
        <v>241</v>
      </c>
      <c r="E18" s="4" t="s">
        <f>E17+E$84</f>
        <v>439</v>
      </c>
      <c r="F18" s="4" t="s">
        <f>G18+H18/60+I18/3600-E18/3600</f>
        <v>240</v>
      </c>
      <c r="G18" s="4" t="s">
        <f>TRUNC(J18,0)</f>
        <v>240</v>
      </c>
      <c r="H18" s="4" t="s">
        <f>TRUNC((J18-G18)*60,0)</f>
        <v>133</v>
      </c>
      <c r="I18" s="4" t="s">
        <f>ROUND(((J18-G18)-H18/60)*3600,0)</f>
        <v>174</v>
      </c>
      <c r="J18" s="4" t="s">
        <f>IF(K18&lt;0,K18+360,K18)</f>
        <v>240</v>
      </c>
      <c r="K18" s="4" t="s">
        <f>ATAN2(N18,Q18)/PI()*180</f>
        <v>245</v>
      </c>
      <c r="L18" s="3" t="s">
        <f>ROUND((SQRT(N18^2+Q18^2)),5)</f>
        <v>242</v>
      </c>
      <c r="M18" s="3" t="s">
        <f>SQRT((T18-T17)^2+(U18-U17)^2)</f>
        <v>440</v>
      </c>
      <c r="N18" s="3" t="s">
        <f>T18-T17-P18</f>
        <v>441</v>
      </c>
      <c r="O18" s="3">
        <v>18.63549</v>
      </c>
      <c r="P18" s="3" t="s">
        <f>ROUND(($T$82*$O18/$O$80),3)</f>
        <v>427</v>
      </c>
      <c r="Q18" s="3" t="s">
        <f>U18-U17-R18</f>
        <v>442</v>
      </c>
      <c r="R18" s="3" t="s">
        <f>ROUND(($U$82*$O18/$O$80),3)</f>
        <v>427</v>
      </c>
      <c r="S18" t="s">
        <v>54</v>
      </c>
      <c r="T18" s="3">
        <v>45799.001</v>
      </c>
      <c r="U18" s="3">
        <v>210933.987</v>
      </c>
    </row>
    <row r="19">
      <c r="A19" t="s">
        <f>S19</f>
        <v>55</v>
      </c>
      <c r="B19" s="4" t="s">
        <f>TRUNC(F19,0)</f>
        <v>246</v>
      </c>
      <c r="C19" s="4" t="s">
        <f>TRUNC((F19-B19)*60,0)</f>
        <v>181</v>
      </c>
      <c r="D19" s="4" t="s">
        <f>ROUND((F19-B19-C19/60)*3600,0)</f>
        <v>247</v>
      </c>
      <c r="E19" s="4" t="s">
        <f>E18+E$84</f>
        <v>218</v>
      </c>
      <c r="F19" s="4" t="s">
        <f>G19+H19/60+I19/3600-E19/3600</f>
        <v>246</v>
      </c>
      <c r="G19" s="4" t="s">
        <f>TRUNC(J19,0)</f>
        <v>246</v>
      </c>
      <c r="H19" s="4" t="s">
        <f>TRUNC((J19-G19)*60,0)</f>
        <v>181</v>
      </c>
      <c r="I19" s="4" t="s">
        <f>ROUND(((J19-G19)-H19/60)*3600,0)</f>
        <v>241</v>
      </c>
      <c r="J19" s="4" t="s">
        <f>IF(K19&lt;0,K19+360,K19)</f>
        <v>246</v>
      </c>
      <c r="K19" s="4" t="s">
        <f>ATAN2(N19,Q19)/PI()*180</f>
        <v>252</v>
      </c>
      <c r="L19" s="3" t="s">
        <f>ROUND((SQRT(N19^2+Q19^2)),5)</f>
        <v>248</v>
      </c>
      <c r="M19" s="3" t="s">
        <f>SQRT((T19-T18)^2+(U19-U18)^2)</f>
        <v>443</v>
      </c>
      <c r="N19" s="3" t="s">
        <f>T19-T18-P19</f>
        <v>444</v>
      </c>
      <c r="O19" s="3">
        <v>18.12218</v>
      </c>
      <c r="P19" s="3" t="s">
        <f>ROUND(($T$82*$O19/$O$80),3)</f>
        <v>427</v>
      </c>
      <c r="Q19" s="3" t="s">
        <f>U19-U18-R19</f>
        <v>445</v>
      </c>
      <c r="R19" s="3" t="s">
        <f>ROUND(($U$82*$O19/$O$80),3)</f>
        <v>427</v>
      </c>
      <c r="S19" t="s">
        <v>55</v>
      </c>
      <c r="T19" s="3">
        <v>45785.763</v>
      </c>
      <c r="U19" s="3">
        <v>210921.616</v>
      </c>
    </row>
    <row r="20">
      <c r="A20" t="s">
        <f>S20</f>
        <v>56</v>
      </c>
      <c r="B20" s="4" t="s">
        <f>TRUNC(F20,0)</f>
        <v>190</v>
      </c>
      <c r="C20" s="4" t="s">
        <f>TRUNC((F20-B20)*60,0)</f>
        <v>213</v>
      </c>
      <c r="D20" s="4" t="s">
        <f>ROUND((F20-B20-C20/60)*3600,0)</f>
        <v>253</v>
      </c>
      <c r="E20" s="4" t="s">
        <f>E19+E$84</f>
        <v>219</v>
      </c>
      <c r="F20" s="4" t="s">
        <f>G20+H20/60+I20/3600-E20/3600</f>
        <v>179</v>
      </c>
      <c r="G20" s="4" t="s">
        <f>TRUNC(J20,0)</f>
        <v>190</v>
      </c>
      <c r="H20" s="4" t="s">
        <f>TRUNC((J20-G20)*60,0)</f>
        <v>253</v>
      </c>
      <c r="I20" s="4" t="s">
        <f>ROUND(((J20-G20)-H20/60)*3600,0)</f>
        <v>208</v>
      </c>
      <c r="J20" s="4" t="s">
        <f>IF(K20&lt;0,K20+360,K20)</f>
        <v>179</v>
      </c>
      <c r="K20" s="4" t="s">
        <f>ATAN2(N20,Q20)/PI()*180</f>
        <v>179</v>
      </c>
      <c r="L20" s="3" t="s">
        <f>ROUND((SQRT(N20^2+Q20^2)),5)</f>
        <v>254</v>
      </c>
      <c r="M20" s="3" t="s">
        <f>SQRT((T20-T19)^2+(U20-U19)^2)</f>
        <v>254</v>
      </c>
      <c r="N20" s="3" t="s">
        <f>T20-T19-P20</f>
        <v>446</v>
      </c>
      <c r="O20" s="3">
        <v>8.43598</v>
      </c>
      <c r="P20" s="3" t="s">
        <f>ROUND(($T$82*$O20/$O$80),3)</f>
        <v>430</v>
      </c>
      <c r="Q20" s="3" t="s">
        <f>U20-U19-R20</f>
        <v>447</v>
      </c>
      <c r="R20" s="3" t="s">
        <f>ROUND(($U$82*$O20/$O$80),3)</f>
        <v>430</v>
      </c>
      <c r="S20" t="s">
        <v>56</v>
      </c>
      <c r="T20" s="3">
        <v>45790.378</v>
      </c>
      <c r="U20" s="3">
        <v>210928.682</v>
      </c>
    </row>
    <row r="21" ht="15.75" customHeight="1">
      <c r="A21" t="s">
        <f>S21</f>
        <v>57</v>
      </c>
      <c r="B21" s="4" t="s">
        <f>TRUNC(F21,0)</f>
        <v>259</v>
      </c>
      <c r="C21" s="4" t="s">
        <f>TRUNC((F21-B21)*60,0)</f>
        <v>143</v>
      </c>
      <c r="D21" s="4" t="s">
        <f>ROUND((F21-B21-C21/60)*3600,0)</f>
        <v>262</v>
      </c>
      <c r="E21" s="4" t="s">
        <f>E20+E$84</f>
        <v>223</v>
      </c>
      <c r="F21" s="4" t="s">
        <f>G21+H21/60+I21/3600-E21/3600</f>
        <v>261</v>
      </c>
      <c r="G21" s="4" t="s">
        <f>TRUNC(J21,0)</f>
        <v>259</v>
      </c>
      <c r="H21" s="4" t="s">
        <f>TRUNC((J21-G21)*60,0)</f>
        <v>143</v>
      </c>
      <c r="I21" s="4" t="s">
        <f>ROUND(((J21-G21)-H21/60)*3600,0)</f>
        <v>214</v>
      </c>
      <c r="J21" s="4" t="s">
        <f>IF(K21&lt;0,K21+360,K21)</f>
        <v>261</v>
      </c>
      <c r="K21" s="4" t="s">
        <f>ATAN2(N21,Q21)/PI()*180</f>
        <v>268</v>
      </c>
      <c r="L21" s="3" t="s">
        <f>ROUND((SQRT(N21^2+Q21^2)),5)</f>
        <v>263</v>
      </c>
      <c r="M21" s="3" t="s">
        <f>SQRT((T21-T20)^2+(U21-U20)^2)</f>
        <v>263</v>
      </c>
      <c r="N21" s="3" t="s">
        <f>T21-T20-P21</f>
        <v>448</v>
      </c>
      <c r="O21" s="3">
        <v>23.53509</v>
      </c>
      <c r="P21" s="3" t="s">
        <f>ROUND(($T$82*$O21/$O$80),3)</f>
        <v>427</v>
      </c>
      <c r="Q21" s="3" t="s">
        <f>U21-U20-R21</f>
        <v>449</v>
      </c>
      <c r="R21" s="3" t="s">
        <f>ROUND(($U$82*$O21/$O$80),3)</f>
        <v>427</v>
      </c>
      <c r="S21" t="s">
        <v>57</v>
      </c>
      <c r="T21" s="3">
        <v>45805.106999999996</v>
      </c>
      <c r="U21" s="3">
        <v>210910.328</v>
      </c>
    </row>
    <row r="22" ht="15.75" customHeight="1">
      <c r="A22" t="s">
        <f>S22</f>
        <v>58</v>
      </c>
      <c r="B22" s="4" t="s">
        <f>TRUNC(F22,0)</f>
        <v>246</v>
      </c>
      <c r="C22" s="4" t="s">
        <f>TRUNC((F22-B22)*60,0)</f>
        <v>178</v>
      </c>
      <c r="D22" s="4" t="s">
        <f>ROUND((F22-B22-C22/60)*3600,0)</f>
        <v>198</v>
      </c>
      <c r="E22" s="4" t="s">
        <f>E21+E$84</f>
        <v>199</v>
      </c>
      <c r="F22" s="4" t="s">
        <f>G22+H22/60+I22/3600-E22/3600</f>
        <v>269</v>
      </c>
      <c r="G22" s="4" t="s">
        <f>TRUNC(J22,0)</f>
        <v>246</v>
      </c>
      <c r="H22" s="4" t="s">
        <f>TRUNC((J22-G22)*60,0)</f>
        <v>178</v>
      </c>
      <c r="I22" s="4" t="s">
        <f>ROUND(((J22-G22)-H22/60)*3600,0)</f>
        <v>143</v>
      </c>
      <c r="J22" s="4" t="s">
        <f>IF(K22&lt;0,K22+360,K22)</f>
        <v>269</v>
      </c>
      <c r="K22" s="4" t="s">
        <f>ATAN2(N22,Q22)/PI()*180</f>
        <v>272</v>
      </c>
      <c r="L22" s="3" t="s">
        <f>ROUND((SQRT(N22^2+Q22^2)),5)</f>
        <v>270</v>
      </c>
      <c r="M22" s="3" t="s">
        <f>SQRT((T22-T21)^2+(U22-U21)^2)</f>
        <v>450</v>
      </c>
      <c r="N22" s="3" t="s">
        <f>T22-T21-P22</f>
        <v>451</v>
      </c>
      <c r="O22" s="3">
        <v>15.222</v>
      </c>
      <c r="P22" s="3" t="s">
        <f>ROUND(($T$82*$O22/$O$80),3)</f>
        <v>430</v>
      </c>
      <c r="Q22" s="3" t="s">
        <f>U22-U21-R22</f>
        <v>452</v>
      </c>
      <c r="R22" s="3" t="s">
        <f>ROUND(($U$82*$O22/$O$80),3)</f>
        <v>427</v>
      </c>
      <c r="S22" t="s">
        <v>58</v>
      </c>
      <c r="T22" s="3">
        <v>45794.092</v>
      </c>
      <c r="U22" s="3">
        <v>210899.829</v>
      </c>
    </row>
    <row r="23" ht="15.75" customHeight="1">
      <c r="A23" t="s">
        <f>S23</f>
        <v>59</v>
      </c>
      <c r="B23" s="4" t="s">
        <f>TRUNC(F23,0)</f>
        <v>273</v>
      </c>
      <c r="C23" s="4" t="s">
        <f>TRUNC((F23-B23)*60,0)</f>
        <v>185</v>
      </c>
      <c r="D23" s="4" t="s">
        <f>ROUND((F23-B23-C23/60)*3600,0)</f>
        <v>158</v>
      </c>
      <c r="E23" s="4" t="s">
        <f>E22+E$84</f>
        <v>394</v>
      </c>
      <c r="F23" s="4" t="s">
        <f>G23+H23/60+I23/3600-E23/3600</f>
        <v>274</v>
      </c>
      <c r="G23" s="4" t="s">
        <f>TRUNC(J23,0)</f>
        <v>273</v>
      </c>
      <c r="H23" s="4" t="s">
        <f>TRUNC((J23-G23)*60,0)</f>
        <v>244</v>
      </c>
      <c r="I23" s="4" t="s">
        <f>ROUND(((J23-G23)-H23/60)*3600,0)</f>
        <v>394</v>
      </c>
      <c r="J23" s="4" t="s">
        <f>IF(K23&lt;0,K23+360,K23)</f>
        <v>274</v>
      </c>
      <c r="K23" s="4" t="s">
        <f>ATAN2(N23,Q23)/PI()*180</f>
        <v>453</v>
      </c>
      <c r="L23" s="3" t="s">
        <f>ROUND((SQRT(N23^2+Q23^2)),5)</f>
        <v>275</v>
      </c>
      <c r="M23" s="3" t="s">
        <f>SQRT((T23-T22)^2+(U23-U22)^2)</f>
        <v>454</v>
      </c>
      <c r="N23" s="3" t="s">
        <f>T23-T22-P23</f>
        <v>455</v>
      </c>
      <c r="O23" s="3">
        <v>13.91067</v>
      </c>
      <c r="P23" s="3" t="s">
        <f>ROUND(($T$82*$O23/$O$80),3)</f>
        <v>430</v>
      </c>
      <c r="Q23" s="3" t="s">
        <f>U23-U22-R23</f>
        <v>456</v>
      </c>
      <c r="R23" s="3" t="s">
        <f>ROUND(($U$82*$O23/$O$80),3)</f>
        <v>427</v>
      </c>
      <c r="S23" t="s">
        <v>59</v>
      </c>
      <c r="T23" s="3">
        <v>45788.358</v>
      </c>
      <c r="U23" s="3">
        <v>210887.158</v>
      </c>
    </row>
    <row r="24" ht="15.75" customHeight="1">
      <c r="A24" t="s">
        <f>S24</f>
        <v>60</v>
      </c>
      <c r="B24" s="4" t="s">
        <f>TRUNC(F24,0)</f>
        <v>282</v>
      </c>
      <c r="C24" s="4" t="s">
        <f>TRUNC((F24-B24)*60,0)</f>
        <v>174</v>
      </c>
      <c r="D24" s="4" t="s">
        <f>ROUND((F24-B24-C24/60)*3600,0)</f>
        <v>190</v>
      </c>
      <c r="E24" s="4" t="s">
        <f>E23+E$84</f>
        <v>194</v>
      </c>
      <c r="F24" s="4" t="s">
        <f>G24+H24/60+I24/3600-E24/3600</f>
        <v>283</v>
      </c>
      <c r="G24" s="4" t="s">
        <f>TRUNC(J24,0)</f>
        <v>282</v>
      </c>
      <c r="H24" s="4" t="s">
        <f>TRUNC((J24-G24)*60,0)</f>
        <v>144</v>
      </c>
      <c r="I24" s="4" t="s">
        <f>ROUND(((J24-G24)-H24/60)*3600,0)</f>
        <v>219</v>
      </c>
      <c r="J24" s="4" t="s">
        <f>IF(K24&lt;0,K24+360,K24)</f>
        <v>283</v>
      </c>
      <c r="K24" s="4" t="s">
        <f>ATAN2(N24,Q24)/PI()*180</f>
        <v>289</v>
      </c>
      <c r="L24" s="3" t="s">
        <f>ROUND((SQRT(N24^2+Q24^2)),5)</f>
        <v>284</v>
      </c>
      <c r="M24" s="3" t="s">
        <f>SQRT((T24-T23)^2+(U24-U23)^2)</f>
        <v>457</v>
      </c>
      <c r="N24" s="3" t="s">
        <f>T24-T23-P24</f>
        <v>458</v>
      </c>
      <c r="O24" s="3">
        <v>37.34155</v>
      </c>
      <c r="P24" s="3" t="s">
        <f>ROUND(($T$82*$O24/$O$80),3)</f>
        <v>427</v>
      </c>
      <c r="Q24" s="3" t="s">
        <f>U24-U23-R24</f>
        <v>459</v>
      </c>
      <c r="R24" s="3" t="s">
        <f>ROUND(($U$82*$O24/$O$80),3)</f>
        <v>434</v>
      </c>
      <c r="S24" t="s">
        <v>60</v>
      </c>
      <c r="T24" s="3">
        <v>45774.261999999995</v>
      </c>
      <c r="U24" s="3">
        <v>210852.583</v>
      </c>
    </row>
    <row r="25" ht="15.75" customHeight="1">
      <c r="A25" t="s">
        <f>S25</f>
        <v>61</v>
      </c>
      <c r="B25" s="4" t="s">
        <f>TRUNC(F25,0)</f>
        <v>290</v>
      </c>
      <c r="C25" s="4" t="s">
        <f>TRUNC((F25-B25)*60,0)</f>
        <v>291</v>
      </c>
      <c r="D25" s="4" t="s">
        <f>ROUND((F25-B25-C25/60)*3600,0)</f>
        <v>185</v>
      </c>
      <c r="E25" s="4" t="s">
        <f>E24+E$84</f>
        <v>202</v>
      </c>
      <c r="F25" s="4" t="s">
        <f>G25+H25/60+I25/3600-E25/3600</f>
        <v>290</v>
      </c>
      <c r="G25" s="4" t="s">
        <f>TRUNC(J25,0)</f>
        <v>290</v>
      </c>
      <c r="H25" s="4" t="s">
        <f>TRUNC((J25-G25)*60,0)</f>
        <v>291</v>
      </c>
      <c r="I25" s="4" t="s">
        <f>ROUND(((J25-G25)-H25/60)*3600,0)</f>
        <v>142</v>
      </c>
      <c r="J25" s="4" t="s">
        <f>IF(K25&lt;0,K25+360,K25)</f>
        <v>290</v>
      </c>
      <c r="K25" s="4" t="s">
        <f>ATAN2(N25,Q25)/PI()*180</f>
        <v>295</v>
      </c>
      <c r="L25" s="3" t="s">
        <f>ROUND((SQRT(N25^2+Q25^2)),5)</f>
        <v>292</v>
      </c>
      <c r="M25" s="3" t="s">
        <f>SQRT((T25-T24)^2+(U25-U24)^2)</f>
        <v>460</v>
      </c>
      <c r="N25" s="3" t="s">
        <f>T25-T24-P25</f>
        <v>461</v>
      </c>
      <c r="O25" s="3">
        <v>51.62189</v>
      </c>
      <c r="P25" s="3" t="s">
        <f>ROUND(($T$82*$O25/$O$80),3)</f>
        <v>427</v>
      </c>
      <c r="Q25" s="3" t="s">
        <f>U25-U24-R25</f>
        <v>462</v>
      </c>
      <c r="R25" s="3" t="s">
        <f>ROUND(($U$82*$O25/$O$80),3)</f>
        <v>434</v>
      </c>
      <c r="S25" t="s">
        <v>61</v>
      </c>
      <c r="T25" s="3">
        <v>45751.134</v>
      </c>
      <c r="U25" s="3">
        <v>210806.435</v>
      </c>
    </row>
    <row r="26" ht="15.75" customHeight="1">
      <c r="A26" t="s">
        <f>S26</f>
        <v>62</v>
      </c>
      <c r="B26" s="4" t="s">
        <f>TRUNC(F26,0)</f>
        <v>463</v>
      </c>
      <c r="C26" s="4" t="s">
        <f>TRUNC((F26-B26)*60,0)</f>
        <v>286</v>
      </c>
      <c r="D26" s="4" t="s">
        <f>ROUND((F26-B26-C26/60)*3600,0)</f>
        <v>174</v>
      </c>
      <c r="E26" s="4" t="s">
        <f>E25+E$84</f>
        <v>159</v>
      </c>
      <c r="F26" s="4" t="s">
        <f>G26+H26/60+I26/3600-E26/3600</f>
        <v>464</v>
      </c>
      <c r="G26" s="4" t="s">
        <f>TRUNC(J26,0)</f>
        <v>463</v>
      </c>
      <c r="H26" s="4" t="s">
        <f>TRUNC((J26-G26)*60,0)</f>
        <v>174</v>
      </c>
      <c r="I26" s="4" t="s">
        <f>ROUND(((J26-G26)-H26/60)*3600,0)</f>
        <v>465</v>
      </c>
      <c r="J26" s="4" t="s">
        <f>IF(K26&lt;0,K26+360,K26)</f>
        <v>464</v>
      </c>
      <c r="K26" s="4" t="s">
        <f>ATAN2(N26,Q26)/PI()*180</f>
        <v>466</v>
      </c>
      <c r="L26" s="3" t="s">
        <f>ROUND((SQRT(N26^2+Q26^2)),5)</f>
        <v>467</v>
      </c>
      <c r="M26" s="3" t="s">
        <f>SQRT((T26-T25)^2+(U26-U25)^2)</f>
        <v>467</v>
      </c>
      <c r="N26" s="3" t="s">
        <f>T26-T25-P26</f>
        <v>468</v>
      </c>
      <c r="O26" s="3">
        <v>65.57138</v>
      </c>
      <c r="P26" s="3" t="s">
        <f>ROUND(($T$82*$O26/$O$80),3)</f>
        <v>434</v>
      </c>
      <c r="Q26" s="3" t="s">
        <f>U26-U25-R26</f>
        <v>469</v>
      </c>
      <c r="R26" s="3" t="s">
        <f>ROUND(($U$82*$O26/$O$80),3)</f>
        <v>470</v>
      </c>
      <c r="S26" t="s">
        <v>62</v>
      </c>
      <c r="T26" s="3">
        <v>45812.674</v>
      </c>
      <c r="U26" s="3">
        <v>210783.798</v>
      </c>
    </row>
    <row r="27" ht="15.75" customHeight="1">
      <c r="A27" t="s">
        <f>S27</f>
        <v>63</v>
      </c>
      <c r="B27" s="4" t="s">
        <f>TRUNC(F27,0)</f>
        <v>471</v>
      </c>
      <c r="C27" s="4" t="s">
        <f>TRUNC((F27-B27)*60,0)</f>
        <v>201</v>
      </c>
      <c r="D27" s="4" t="s">
        <f>ROUND((F27-B27-C27/60)*3600,0)</f>
        <v>209</v>
      </c>
      <c r="E27" s="4" t="s">
        <f>E26+E$84</f>
        <v>169</v>
      </c>
      <c r="F27" s="4" t="s">
        <f>G27+H27/60+I27/3600-E27/3600</f>
        <v>472</v>
      </c>
      <c r="G27" s="4" t="s">
        <f>TRUNC(J27,0)</f>
        <v>471</v>
      </c>
      <c r="H27" s="4" t="s">
        <f>TRUNC((J27-G27)*60,0)</f>
        <v>142</v>
      </c>
      <c r="I27" s="4" t="s">
        <f>ROUND(((J27-G27)-H27/60)*3600,0)</f>
        <v>394</v>
      </c>
      <c r="J27" s="4" t="s">
        <f>IF(K27&lt;0,K27+360,K27)</f>
        <v>472</v>
      </c>
      <c r="K27" s="4" t="s">
        <f>ATAN2(N27,Q27)/PI()*180</f>
        <v>473</v>
      </c>
      <c r="L27" s="3" t="s">
        <f>ROUND((SQRT(N27^2+Q27^2)),5)</f>
        <v>474</v>
      </c>
      <c r="M27" s="3" t="s">
        <f>SQRT((T27-T26)^2+(U27-U26)^2)</f>
        <v>475</v>
      </c>
      <c r="N27" s="3" t="s">
        <f>T27-T26-P27</f>
        <v>476</v>
      </c>
      <c r="O27" s="3">
        <v>226.09289</v>
      </c>
      <c r="P27" s="3" t="s">
        <f>ROUND(($T$82*$O27/$O$80),3)</f>
        <v>477</v>
      </c>
      <c r="Q27" s="3" t="s">
        <f>U27-U26-R27</f>
        <v>478</v>
      </c>
      <c r="R27" s="3" t="s">
        <f>ROUND(($U$82*$O27/$O$80),3)</f>
        <v>479</v>
      </c>
      <c r="S27" t="s">
        <v>63</v>
      </c>
      <c r="T27" s="3">
        <v>45772.979</v>
      </c>
      <c r="U27" s="3">
        <v>210561.217</v>
      </c>
    </row>
    <row r="28" ht="15.75" customHeight="1">
      <c r="A28" t="s">
        <f>S28</f>
        <v>64</v>
      </c>
      <c r="B28" s="4" t="s">
        <f>TRUNC(F28,0)</f>
        <v>480</v>
      </c>
      <c r="C28" s="4" t="s">
        <f>TRUNC((F28-B28)*60,0)</f>
        <v>320</v>
      </c>
      <c r="D28" s="4" t="s">
        <f>ROUND((F28-B28-C28/60)*3600,0)</f>
        <v>185</v>
      </c>
      <c r="E28" s="4" t="s">
        <f>E27+E$84</f>
        <v>135</v>
      </c>
      <c r="F28" s="4" t="s">
        <f>G28+H28/60+I28/3600-E28/3600</f>
        <v>481</v>
      </c>
      <c r="G28" s="4" t="s">
        <f>TRUNC(J28,0)</f>
        <v>480</v>
      </c>
      <c r="H28" s="4" t="s">
        <f>TRUNC((J28-G28)*60,0)</f>
        <v>320</v>
      </c>
      <c r="I28" s="4" t="s">
        <f>ROUND(((J28-G28)-H28/60)*3600,0)</f>
        <v>179</v>
      </c>
      <c r="J28" s="4" t="s">
        <f>IF(K28&lt;0,K28+360,K28)</f>
        <v>481</v>
      </c>
      <c r="K28" s="4" t="s">
        <f>ATAN2(N28,Q28)/PI()*180</f>
        <v>482</v>
      </c>
      <c r="L28" s="3" t="s">
        <f>ROUND((SQRT(N28^2+Q28^2)),5)</f>
        <v>483</v>
      </c>
      <c r="M28" s="3" t="s">
        <f>SQRT((T28-T27)^2+(U28-U27)^2)</f>
        <v>484</v>
      </c>
      <c r="N28" s="3" t="s">
        <f>T28-T27-P28</f>
        <v>485</v>
      </c>
      <c r="O28" s="3">
        <v>24.89014</v>
      </c>
      <c r="P28" s="3" t="s">
        <f>ROUND(($T$82*$O28/$O$80),3)</f>
        <v>427</v>
      </c>
      <c r="Q28" s="3" t="s">
        <f>U28-U27-R28</f>
        <v>486</v>
      </c>
      <c r="R28" s="3" t="s">
        <f>ROUND(($U$82*$O28/$O$80),3)</f>
        <v>427</v>
      </c>
      <c r="S28" t="s">
        <v>64</v>
      </c>
      <c r="T28" s="3">
        <v>45772.111</v>
      </c>
      <c r="U28" s="3">
        <v>210536.342</v>
      </c>
    </row>
    <row r="29" ht="15.75" customHeight="1">
      <c r="A29" t="s">
        <f>S29</f>
        <v>65</v>
      </c>
      <c r="B29" s="4" t="s">
        <f>TRUNC(F29,0)</f>
        <v>487</v>
      </c>
      <c r="C29" s="4" t="s">
        <f>TRUNC((F29-B29)*60,0)</f>
        <v>337</v>
      </c>
      <c r="D29" s="4" t="s">
        <f>ROUND((F29-B29-C29/60)*3600,0)</f>
        <v>208</v>
      </c>
      <c r="E29" s="4" t="s">
        <f>E28+E$84</f>
        <v>217</v>
      </c>
      <c r="F29" s="4" t="s">
        <f>G29+H29/60+I29/3600-E29/3600</f>
        <v>487</v>
      </c>
      <c r="G29" s="4" t="s">
        <f>TRUNC(J29,0)</f>
        <v>487</v>
      </c>
      <c r="H29" s="4" t="s">
        <f>TRUNC((J29-G29)*60,0)</f>
        <v>337</v>
      </c>
      <c r="I29" s="4" t="s">
        <f>ROUND(((J29-G29)-H29/60)*3600,0)</f>
        <v>337</v>
      </c>
      <c r="J29" s="4" t="s">
        <f>IF(K29&lt;0,K29+360,K29)</f>
        <v>487</v>
      </c>
      <c r="K29" s="4" t="s">
        <f>ATAN2(N29,Q29)/PI()*180</f>
        <v>488</v>
      </c>
      <c r="L29" s="3" t="s">
        <f>ROUND((SQRT(N29^2+Q29^2)),5)</f>
        <v>489</v>
      </c>
      <c r="M29" s="3" t="s">
        <f>SQRT((T29-T28)^2+(U29-U28)^2)</f>
        <v>490</v>
      </c>
      <c r="N29" s="3" t="s">
        <f>T29-T28-P29</f>
        <v>491</v>
      </c>
      <c r="O29" s="3">
        <v>51.4305</v>
      </c>
      <c r="P29" s="3" t="s">
        <f>ROUND(($T$82*$O29/$O$80),3)</f>
        <v>427</v>
      </c>
      <c r="Q29" s="3" t="s">
        <f>U29-U28-R29</f>
        <v>492</v>
      </c>
      <c r="R29" s="3" t="s">
        <f>ROUND(($U$82*$O29/$O$80),3)</f>
        <v>434</v>
      </c>
      <c r="S29" t="s">
        <v>65</v>
      </c>
      <c r="T29" s="3">
        <v>45785.731999999996</v>
      </c>
      <c r="U29" s="3">
        <v>210486.748</v>
      </c>
    </row>
    <row r="30" ht="15.75" customHeight="1">
      <c r="A30" t="s">
        <f>S30</f>
        <v>66</v>
      </c>
      <c r="B30" s="4" t="s">
        <f>TRUNC(F30,0)</f>
        <v>493</v>
      </c>
      <c r="C30" s="4" t="s">
        <f>TRUNC((F30-B30)*60,0)</f>
        <v>267</v>
      </c>
      <c r="D30" s="4" t="s">
        <f>ROUND((F30-B30-C30/60)*3600,0)</f>
        <v>172</v>
      </c>
      <c r="E30" s="4" t="s">
        <f>E29+E$84</f>
        <v>337</v>
      </c>
      <c r="F30" s="4" t="s">
        <f>G30+H30/60+I30/3600-E30/3600</f>
        <v>493</v>
      </c>
      <c r="G30" s="4" t="s">
        <f>TRUNC(J30,0)</f>
        <v>493</v>
      </c>
      <c r="H30" s="4" t="s">
        <f>TRUNC((J30-G30)*60,0)</f>
        <v>267</v>
      </c>
      <c r="I30" s="4" t="s">
        <f>ROUND(((J30-G30)-H30/60)*3600,0)</f>
        <v>337</v>
      </c>
      <c r="J30" s="4" t="s">
        <f>IF(K30&lt;0,K30+360,K30)</f>
        <v>493</v>
      </c>
      <c r="K30" s="4" t="s">
        <f>ATAN2(N30,Q30)/PI()*180</f>
        <v>494</v>
      </c>
      <c r="L30" s="3" t="s">
        <f>ROUND((SQRT(N30^2+Q30^2)),5)</f>
        <v>495</v>
      </c>
      <c r="M30" s="3" t="s">
        <f>SQRT((T30-T29)^2+(U30-U29)^2)</f>
        <v>496</v>
      </c>
      <c r="N30" s="3" t="s">
        <f>T30-T29-P30</f>
        <v>497</v>
      </c>
      <c r="O30" s="3">
        <v>32.24618</v>
      </c>
      <c r="P30" s="3" t="s">
        <f>ROUND(($T$82*$O30/$O$80),3)</f>
        <v>427</v>
      </c>
      <c r="Q30" s="3" t="s">
        <f>U30-U29-R30</f>
        <v>498</v>
      </c>
      <c r="R30" s="3" t="s">
        <f>ROUND(($U$82*$O30/$O$80),3)</f>
        <v>427</v>
      </c>
      <c r="S30" t="s">
        <v>66</v>
      </c>
      <c r="T30" s="3">
        <v>45756.138999999996</v>
      </c>
      <c r="U30" s="3">
        <v>210473.939</v>
      </c>
    </row>
    <row r="31" ht="15.75" customHeight="1">
      <c r="A31" t="s">
        <f>S31</f>
        <v>67</v>
      </c>
      <c r="B31" s="4" t="s">
        <f>TRUNC(F31,0)</f>
        <v>493</v>
      </c>
      <c r="C31" s="4" t="s">
        <f>TRUNC((F31-B31)*60,0)</f>
        <v>135</v>
      </c>
      <c r="D31" s="4" t="s">
        <f>ROUND((F31-B31-C31/60)*3600,0)</f>
        <v>233</v>
      </c>
      <c r="E31" s="4" t="s">
        <f>E30+E$84</f>
        <v>291</v>
      </c>
      <c r="F31" s="4" t="s">
        <f>G31+H31/60+I31/3600-E31/3600</f>
        <v>493</v>
      </c>
      <c r="G31" s="4" t="s">
        <f>TRUNC(J31,0)</f>
        <v>493</v>
      </c>
      <c r="H31" s="4" t="s">
        <f>TRUNC((J31-G31)*60,0)</f>
        <v>135</v>
      </c>
      <c r="I31" s="4" t="s">
        <f>ROUND(((J31-G31)-H31/60)*3600,0)</f>
        <v>174</v>
      </c>
      <c r="J31" s="4" t="s">
        <f>IF(K31&lt;0,K31+360,K31)</f>
        <v>493</v>
      </c>
      <c r="K31" s="4" t="s">
        <f>ATAN2(N31,Q31)/PI()*180</f>
        <v>494</v>
      </c>
      <c r="L31" s="3" t="s">
        <f>ROUND((SQRT(N31^2+Q31^2)),5)</f>
        <v>499</v>
      </c>
      <c r="M31" s="3" t="s">
        <f>SQRT((T31-T30)^2+(U31-U30)^2)</f>
        <v>500</v>
      </c>
      <c r="N31" s="3" t="s">
        <f>T31-T30-P31</f>
        <v>501</v>
      </c>
      <c r="O31" s="3">
        <v>20.72205</v>
      </c>
      <c r="P31" s="3" t="s">
        <f>ROUND(($T$82*$O31/$O$80),3)</f>
        <v>427</v>
      </c>
      <c r="Q31" s="3" t="s">
        <f>U31-U30-R31</f>
        <v>502</v>
      </c>
      <c r="R31" s="3" t="s">
        <f>ROUND(($U$82*$O31/$O$80),3)</f>
        <v>427</v>
      </c>
      <c r="S31" t="s">
        <v>67</v>
      </c>
      <c r="T31" s="3">
        <v>45737.111</v>
      </c>
      <c r="U31" s="3">
        <v>210465.733</v>
      </c>
    </row>
    <row r="32" ht="15.75" customHeight="1">
      <c r="A32" t="s">
        <f>S32</f>
        <v>68</v>
      </c>
      <c r="B32" s="4" t="s">
        <f>TRUNC(F32,0)</f>
        <v>503</v>
      </c>
      <c r="C32" s="4" t="s">
        <f>TRUNC((F32-B32)*60,0)</f>
        <v>199</v>
      </c>
      <c r="D32" s="4" t="s">
        <f>ROUND((F32-B32-C32/60)*3600,0)</f>
        <v>465</v>
      </c>
      <c r="E32" s="4" t="s">
        <f>E31+E$84</f>
        <v>260</v>
      </c>
      <c r="F32" s="4" t="s">
        <f>G32+H32/60+I32/3600-E32/3600</f>
        <v>503</v>
      </c>
      <c r="G32" s="4" t="s">
        <f>TRUNC(J32,0)</f>
        <v>503</v>
      </c>
      <c r="H32" s="4" t="s">
        <f>TRUNC((J32-G32)*60,0)</f>
        <v>199</v>
      </c>
      <c r="I32" s="4" t="s">
        <f>ROUND(((J32-G32)-H32/60)*3600,0)</f>
        <v>238</v>
      </c>
      <c r="J32" s="4" t="s">
        <f>IF(K32&lt;0,K32+360,K32)</f>
        <v>503</v>
      </c>
      <c r="K32" s="4" t="s">
        <f>ATAN2(N32,Q32)/PI()*180</f>
        <v>504</v>
      </c>
      <c r="L32" s="3" t="s">
        <f>ROUND((SQRT(N32^2+Q32^2)),5)</f>
        <v>505</v>
      </c>
      <c r="M32" s="3" t="s">
        <f>SQRT((T32-T31)^2+(U32-U31)^2)</f>
        <v>506</v>
      </c>
      <c r="N32" s="3" t="s">
        <f>T32-T31-P32</f>
        <v>507</v>
      </c>
      <c r="O32" s="3">
        <v>59.14936</v>
      </c>
      <c r="P32" s="3" t="s">
        <f>ROUND(($T$82*$O32/$O$80),3)</f>
        <v>434</v>
      </c>
      <c r="Q32" s="3" t="s">
        <f>U32-U31-R32</f>
        <v>508</v>
      </c>
      <c r="R32" s="3" t="s">
        <f>ROUND(($U$82*$O32/$O$80),3)</f>
        <v>470</v>
      </c>
      <c r="S32" t="s">
        <v>68</v>
      </c>
      <c r="T32" s="3">
        <v>45742.481999999996</v>
      </c>
      <c r="U32" s="3">
        <v>210406.828</v>
      </c>
    </row>
    <row r="33" ht="15.75" customHeight="1">
      <c r="A33" t="s">
        <f>S33</f>
        <v>69</v>
      </c>
      <c r="B33" s="4" t="s">
        <f>TRUNC(F33,0)</f>
        <v>230</v>
      </c>
      <c r="C33" s="4" t="s">
        <f>TRUNC((F33-B33)*60,0)</f>
        <v>174</v>
      </c>
      <c r="D33" s="4" t="s">
        <f>ROUND((F33-B33-C33/60)*3600,0)</f>
        <v>247</v>
      </c>
      <c r="E33" s="4" t="s">
        <f>E32+E$84</f>
        <v>267</v>
      </c>
      <c r="F33" s="4" t="s">
        <f>G33+H33/60+I33/3600-E33/3600</f>
        <v>439</v>
      </c>
      <c r="G33" s="4" t="s">
        <f>TRUNC(J33,0)</f>
        <v>230</v>
      </c>
      <c r="H33" s="4" t="s">
        <f>TRUNC((J33-G33)*60,0)</f>
        <v>174</v>
      </c>
      <c r="I33" s="4" t="s">
        <f>ROUND(((J33-G33)-H33/60)*3600,0)</f>
        <v>209</v>
      </c>
      <c r="J33" s="4" t="s">
        <f>IF(K33&lt;0,K33+360,K33)</f>
        <v>439</v>
      </c>
      <c r="K33" s="4" t="s">
        <f>ATAN2(N33,Q33)/PI()*180</f>
        <v>439</v>
      </c>
      <c r="L33" s="3" t="s">
        <f>ROUND((SQRT(N33^2+Q33^2)),5)</f>
        <v>509</v>
      </c>
      <c r="M33" s="3" t="s">
        <f>SQRT((T33-T32)^2+(U33-U32)^2)</f>
        <v>510</v>
      </c>
      <c r="N33" s="3" t="s">
        <f>T33-T32-P33</f>
        <v>511</v>
      </c>
      <c r="O33" s="3">
        <v>39.05805</v>
      </c>
      <c r="P33" s="3" t="s">
        <f>ROUND(($T$82*$O33/$O$80),3)</f>
        <v>427</v>
      </c>
      <c r="Q33" s="3" t="s">
        <f>U33-U32-R33</f>
        <v>512</v>
      </c>
      <c r="R33" s="3" t="s">
        <f>ROUND(($U$82*$O33/$O$80),3)</f>
        <v>434</v>
      </c>
      <c r="S33" t="s">
        <v>69</v>
      </c>
      <c r="T33" s="3">
        <v>45781.176999999996</v>
      </c>
      <c r="U33" s="3">
        <v>210412.141</v>
      </c>
    </row>
    <row r="34" ht="15.75" customHeight="1">
      <c r="A34" t="s">
        <f>S34</f>
        <v>70</v>
      </c>
      <c r="B34" s="4" t="s">
        <f>TRUNC(F34,0)</f>
        <v>218</v>
      </c>
      <c r="C34" s="4" t="s">
        <f>TRUNC((F34-B34)*60,0)</f>
        <v>321</v>
      </c>
      <c r="D34" s="4" t="s">
        <f>ROUND((F34-B34-C34/60)*3600,0)</f>
        <v>250</v>
      </c>
      <c r="E34" s="4" t="s">
        <f>E33+E$84</f>
        <v>262</v>
      </c>
      <c r="F34" s="4" t="s">
        <f>G34+H34/60+I34/3600-E34/3600</f>
        <v>219</v>
      </c>
      <c r="G34" s="4" t="s">
        <f>TRUNC(J34,0)</f>
        <v>218</v>
      </c>
      <c r="H34" s="4" t="s">
        <f>TRUNC((J34-G34)*60,0)</f>
        <v>205</v>
      </c>
      <c r="I34" s="4" t="s">
        <f>ROUND(((J34-G34)-H34/60)*3600,0)</f>
        <v>439</v>
      </c>
      <c r="J34" s="4" t="s">
        <f>IF(K34&lt;0,K34+360,K34)</f>
        <v>219</v>
      </c>
      <c r="K34" s="4" t="s">
        <f>ATAN2(N34,Q34)/PI()*180</f>
        <v>219</v>
      </c>
      <c r="L34" s="3" t="s">
        <f>ROUND((SQRT(N34^2+Q34^2)),5)</f>
        <v>513</v>
      </c>
      <c r="M34" s="3" t="s">
        <f>SQRT((T34-T33)^2+(U34-U33)^2)</f>
        <v>514</v>
      </c>
      <c r="N34" s="3" t="s">
        <f>T34-T33-P34</f>
        <v>515</v>
      </c>
      <c r="O34" s="3">
        <v>46.97825</v>
      </c>
      <c r="P34" s="3" t="s">
        <f>ROUND(($T$82*$O34/$O$80),3)</f>
        <v>427</v>
      </c>
      <c r="Q34" s="3" t="s">
        <f>U34-U33-R34</f>
        <v>516</v>
      </c>
      <c r="R34" s="3" t="s">
        <f>ROUND(($U$82*$O34/$O$80),3)</f>
        <v>434</v>
      </c>
      <c r="S34" t="s">
        <v>70</v>
      </c>
      <c r="T34" s="3">
        <v>45827.483</v>
      </c>
      <c r="U34" s="3">
        <v>210420.06</v>
      </c>
    </row>
    <row r="35" ht="15.75" customHeight="1">
      <c r="A35" t="s">
        <f>S35</f>
        <v>71</v>
      </c>
      <c r="B35" s="4" t="s">
        <f>TRUNC(F35,0)</f>
        <v>517</v>
      </c>
      <c r="C35" s="4" t="s">
        <f>TRUNC((F35-B35)*60,0)</f>
        <v>346</v>
      </c>
      <c r="D35" s="4" t="s">
        <f>ROUND((F35-B35-C35/60)*3600,0)</f>
        <v>267</v>
      </c>
      <c r="E35" s="4" t="s">
        <f>E34+E$84</f>
        <v>233</v>
      </c>
      <c r="F35" s="4" t="s">
        <f>G35+H35/60+I35/3600-E35/3600</f>
        <v>518</v>
      </c>
      <c r="G35" s="4" t="s">
        <f>TRUNC(J35,0)</f>
        <v>517</v>
      </c>
      <c r="H35" s="4" t="s">
        <f>TRUNC((J35-G35)*60,0)</f>
        <v>346</v>
      </c>
      <c r="I35" s="4" t="s">
        <f>ROUND(((J35-G35)-H35/60)*3600,0)</f>
        <v>213</v>
      </c>
      <c r="J35" s="4" t="s">
        <f>IF(K35&lt;0,K35+360,K35)</f>
        <v>518</v>
      </c>
      <c r="K35" s="4" t="s">
        <f>ATAN2(N35,Q35)/PI()*180</f>
        <v>518</v>
      </c>
      <c r="L35" s="3" t="s">
        <f>ROUND((SQRT(N35^2+Q35^2)),5)</f>
        <v>519</v>
      </c>
      <c r="M35" s="3" t="s">
        <f>SQRT((T35-T34)^2+(U35-U34)^2)</f>
        <v>519</v>
      </c>
      <c r="N35" s="3" t="s">
        <f>T35-T34-P35</f>
        <v>520</v>
      </c>
      <c r="O35" s="3">
        <v>6.33346</v>
      </c>
      <c r="P35" s="3" t="s">
        <f>ROUND(($T$82*$O35/$O$80),3)</f>
        <v>430</v>
      </c>
      <c r="Q35" s="3" t="s">
        <f>U35-U34-R35</f>
        <v>521</v>
      </c>
      <c r="R35" s="3" t="s">
        <f>ROUND(($U$82*$O35/$O$80),3)</f>
        <v>430</v>
      </c>
      <c r="S35" t="s">
        <v>71</v>
      </c>
      <c r="T35" s="3">
        <v>45829.379</v>
      </c>
      <c r="U35" s="3">
        <v>210426.103</v>
      </c>
    </row>
    <row r="36" ht="15.75" customHeight="1">
      <c r="A36" t="s">
        <f>S36</f>
        <v>72</v>
      </c>
      <c r="B36" s="4" t="s">
        <f>TRUNC(F36,0)</f>
        <v>320</v>
      </c>
      <c r="C36" s="4" t="s">
        <f>TRUNC((F36-B36)*60,0)</f>
        <v>321</v>
      </c>
      <c r="D36" s="4" t="s">
        <f>ROUND((F36-B36-C36/60)*3600,0)</f>
        <v>209</v>
      </c>
      <c r="E36" s="4" t="s">
        <f>E35+E$84</f>
        <v>238</v>
      </c>
      <c r="F36" s="4" t="s">
        <f>G36+H36/60+I36/3600-E36/3600</f>
        <v>158</v>
      </c>
      <c r="G36" s="4" t="s">
        <f>TRUNC(J36,0)</f>
        <v>320</v>
      </c>
      <c r="H36" s="4" t="s">
        <f>TRUNC((J36-G36)*60,0)</f>
        <v>205</v>
      </c>
      <c r="I36" s="4" t="s">
        <f>ROUND(((J36-G36)-H36/60)*3600,0)</f>
        <v>260</v>
      </c>
      <c r="J36" s="4" t="s">
        <f>IF(K36&lt;0,K36+360,K36)</f>
        <v>158</v>
      </c>
      <c r="K36" s="4" t="s">
        <f>ATAN2(N36,Q36)/PI()*180</f>
        <v>158</v>
      </c>
      <c r="L36" s="3" t="s">
        <f>ROUND((SQRT(N36^2+Q36^2)),5)</f>
        <v>522</v>
      </c>
      <c r="M36" s="3" t="s">
        <f>SQRT((T36-T35)^2+(U36-U35)^2)</f>
        <v>523</v>
      </c>
      <c r="N36" s="3" t="s">
        <f>T36-T35-P36</f>
        <v>524</v>
      </c>
      <c r="O36" s="3">
        <v>13.84415</v>
      </c>
      <c r="P36" s="3" t="s">
        <f>ROUND(($T$82*$O36/$O$80),3)</f>
        <v>430</v>
      </c>
      <c r="Q36" s="3" t="s">
        <f>U36-U35-R36</f>
        <v>525</v>
      </c>
      <c r="R36" s="3" t="s">
        <f>ROUND(($U$82*$O36/$O$80),3)</f>
        <v>427</v>
      </c>
      <c r="S36" t="s">
        <v>72</v>
      </c>
      <c r="T36" s="3">
        <v>45836.362</v>
      </c>
      <c r="U36" s="3">
        <v>210438.057</v>
      </c>
    </row>
    <row r="37" ht="15.75" customHeight="1">
      <c r="A37" t="s">
        <f>S37</f>
        <v>73</v>
      </c>
      <c r="B37" s="4" t="s">
        <f>TRUNC(F37,0)</f>
        <v>320</v>
      </c>
      <c r="C37" s="4" t="s">
        <f>TRUNC((F37-B37)*60,0)</f>
        <v>244</v>
      </c>
      <c r="D37" s="4" t="s">
        <f>ROUND((F37-B37-C37/60)*3600,0)</f>
        <v>394</v>
      </c>
      <c r="E37" s="4" t="s">
        <f>E36+E$84</f>
        <v>235</v>
      </c>
      <c r="F37" s="4" t="s">
        <f>G37+H37/60+I37/3600-E37/3600</f>
        <v>158</v>
      </c>
      <c r="G37" s="4" t="s">
        <f>TRUNC(J37,0)</f>
        <v>320</v>
      </c>
      <c r="H37" s="4" t="s">
        <f>TRUNC((J37-G37)*60,0)</f>
        <v>244</v>
      </c>
      <c r="I37" s="4" t="s">
        <f>ROUND(((J37-G37)-H37/60)*3600,0)</f>
        <v>205</v>
      </c>
      <c r="J37" s="4" t="s">
        <f>IF(K37&lt;0,K37+360,K37)</f>
        <v>158</v>
      </c>
      <c r="K37" s="4" t="s">
        <f>ATAN2(N37,Q37)/PI()*180</f>
        <v>158</v>
      </c>
      <c r="L37" s="3" t="s">
        <f>ROUND((SQRT(N37^2+Q37^2)),5)</f>
        <v>526</v>
      </c>
      <c r="M37" s="3" t="s">
        <f>SQRT((T37-T36)^2+(U37-U36)^2)</f>
        <v>527</v>
      </c>
      <c r="N37" s="3" t="s">
        <f>T37-T36-P37</f>
        <v>528</v>
      </c>
      <c r="O37" s="3">
        <v>13.43566</v>
      </c>
      <c r="P37" s="3" t="s">
        <f>ROUND(($T$82*$O37/$O$80),3)</f>
        <v>430</v>
      </c>
      <c r="Q37" s="3" t="s">
        <f>U37-U36-R37</f>
        <v>529</v>
      </c>
      <c r="R37" s="3" t="s">
        <f>ROUND(($U$82*$O37/$O$80),3)</f>
        <v>427</v>
      </c>
      <c r="S37" t="s">
        <v>73</v>
      </c>
      <c r="T37" s="3">
        <v>45843.148</v>
      </c>
      <c r="U37" s="3">
        <v>210449.653</v>
      </c>
    </row>
    <row r="38" ht="15.75" customHeight="1">
      <c r="A38" t="s">
        <f>S38</f>
        <v>74</v>
      </c>
      <c r="B38" s="4" t="s">
        <f>TRUNC(F38,0)</f>
        <v>142</v>
      </c>
      <c r="C38" s="4" t="s">
        <f>TRUNC((F38-B38)*60,0)</f>
        <v>291</v>
      </c>
      <c r="D38" s="4" t="s">
        <f>ROUND((F38-B38-C38/60)*3600,0)</f>
        <v>181</v>
      </c>
      <c r="E38" s="4" t="s">
        <f>E37+E$84</f>
        <v>251</v>
      </c>
      <c r="F38" s="4" t="s">
        <f>G38+H38/60+I38/3600-E38/3600</f>
        <v>142</v>
      </c>
      <c r="G38" s="4" t="s">
        <f>TRUNC(J38,0)</f>
        <v>142</v>
      </c>
      <c r="H38" s="4" t="s">
        <f>TRUNC((J38-G38)*60,0)</f>
        <v>291</v>
      </c>
      <c r="I38" s="4" t="s">
        <f>ROUND(((J38-G38)-H38/60)*3600,0)</f>
        <v>200</v>
      </c>
      <c r="J38" s="4" t="s">
        <f>IF(K38&lt;0,K38+360,K38)</f>
        <v>142</v>
      </c>
      <c r="K38" s="4" t="s">
        <f>ATAN2(N38,Q38)/PI()*180</f>
        <v>142</v>
      </c>
      <c r="L38" s="3" t="s">
        <f>ROUND((SQRT(N38^2+Q38^2)),5)</f>
        <v>530</v>
      </c>
      <c r="M38" s="3" t="s">
        <f>SQRT((T38-T37)^2+(U38-U37)^2)</f>
        <v>531</v>
      </c>
      <c r="N38" s="3" t="s">
        <f>T38-T37-P38</f>
        <v>532</v>
      </c>
      <c r="O38" s="3">
        <v>31.22869</v>
      </c>
      <c r="P38" s="3" t="s">
        <f>ROUND(($T$82*$O38/$O$80),3)</f>
        <v>427</v>
      </c>
      <c r="Q38" s="3" t="s">
        <f>U38-U37-R38</f>
        <v>533</v>
      </c>
      <c r="R38" s="3" t="s">
        <f>ROUND(($U$82*$O38/$O$80),3)</f>
        <v>427</v>
      </c>
      <c r="S38" t="s">
        <v>74</v>
      </c>
      <c r="T38" s="3">
        <v>45861.778</v>
      </c>
      <c r="U38" s="3">
        <v>210474.71600000001</v>
      </c>
    </row>
    <row r="39" ht="15.75" customHeight="1">
      <c r="A39" t="s">
        <f>S39</f>
        <v>75</v>
      </c>
      <c r="B39" s="4" t="s">
        <f>TRUNC(F39,0)</f>
        <v>260</v>
      </c>
      <c r="C39" s="4" t="s">
        <f>TRUNC((F39-B39)*60,0)</f>
        <v>223</v>
      </c>
      <c r="D39" s="4" t="s">
        <f>ROUND((F39-B39-C39/60)*3600,0)</f>
        <v>267</v>
      </c>
      <c r="E39" s="4" t="s">
        <f>E38+E$84</f>
        <v>247</v>
      </c>
      <c r="F39" s="4" t="s">
        <f>G39+H39/60+I39/3600-E39/3600</f>
        <v>260</v>
      </c>
      <c r="G39" s="4" t="s">
        <f>TRUNC(J39,0)</f>
        <v>260</v>
      </c>
      <c r="H39" s="4" t="s">
        <f>TRUNC((J39-G39)*60,0)</f>
        <v>223</v>
      </c>
      <c r="I39" s="4" t="s">
        <f>ROUND(((J39-G39)-H39/60)*3600,0)</f>
        <v>209</v>
      </c>
      <c r="J39" s="4" t="s">
        <f>IF(K39&lt;0,K39+360,K39)</f>
        <v>260</v>
      </c>
      <c r="K39" s="4" t="s">
        <f>ATAN2(N39,Q39)/PI()*180</f>
        <v>260</v>
      </c>
      <c r="L39" s="3" t="s">
        <f>ROUND((SQRT(N39^2+Q39^2)),5)</f>
        <v>422</v>
      </c>
      <c r="M39" s="3" t="s">
        <f>SQRT((T39-T38)^2+(U39-U38)^2)</f>
        <v>422</v>
      </c>
      <c r="N39" s="3" t="s">
        <f>T39-T38-P39</f>
        <v>477</v>
      </c>
      <c r="O39" s="3">
        <v>0.00762</v>
      </c>
      <c r="P39" s="3" t="s">
        <f>ROUND(($T$82*$O39/$O$80),3)</f>
        <v>430</v>
      </c>
      <c r="Q39" s="3" t="s">
        <f>U39-U38-R39</f>
        <v>470</v>
      </c>
      <c r="R39" s="3" t="s">
        <f>ROUND(($U$82*$O39/$O$80),3)</f>
        <v>430</v>
      </c>
      <c r="S39" t="s">
        <v>75</v>
      </c>
      <c r="T39" s="3">
        <v>45861.784999999996</v>
      </c>
      <c r="U39" s="3">
        <v>210474.719</v>
      </c>
    </row>
    <row r="40" ht="15.75" customHeight="1">
      <c r="A40" t="s">
        <f>S40</f>
        <v>76</v>
      </c>
      <c r="B40" s="4" t="s">
        <f>TRUNC(F40,0)</f>
        <v>144</v>
      </c>
      <c r="C40" s="4" t="s">
        <f>TRUNC((F40-B40)*60,0)</f>
        <v>226</v>
      </c>
      <c r="D40" s="4" t="s">
        <f>ROUND((F40-B40-C40/60)*3600,0)</f>
        <v>142</v>
      </c>
      <c r="E40" s="4" t="s">
        <f>E39+E$84</f>
        <v>198</v>
      </c>
      <c r="F40" s="4" t="s">
        <f>G40+H40/60+I40/3600-E40/3600</f>
        <v>144</v>
      </c>
      <c r="G40" s="4" t="s">
        <f>TRUNC(J40,0)</f>
        <v>144</v>
      </c>
      <c r="H40" s="4" t="s">
        <f>TRUNC((J40-G40)*60,0)</f>
        <v>230</v>
      </c>
      <c r="I40" s="4" t="s">
        <f>ROUND(((J40-G40)-H40/60)*3600,0)</f>
        <v>262</v>
      </c>
      <c r="J40" s="4" t="s">
        <f>IF(K40&lt;0,K40+360,K40)</f>
        <v>144</v>
      </c>
      <c r="K40" s="4" t="s">
        <f>ATAN2(N40,Q40)/PI()*180</f>
        <v>144</v>
      </c>
      <c r="L40" s="3" t="s">
        <f>ROUND((SQRT(N40^2+Q40^2)),5)</f>
        <v>534</v>
      </c>
      <c r="M40" s="3" t="s">
        <f>SQRT((T40-T39)^2+(U40-U39)^2)</f>
        <v>534</v>
      </c>
      <c r="N40" s="3" t="s">
        <f>T40-T39-P40</f>
        <v>535</v>
      </c>
      <c r="O40" s="3">
        <v>9.10565</v>
      </c>
      <c r="P40" s="3" t="s">
        <f>ROUND(($T$82*$O40/$O$80),3)</f>
        <v>430</v>
      </c>
      <c r="Q40" s="3" t="s">
        <f>U40-U39-R40</f>
        <v>536</v>
      </c>
      <c r="R40" s="3" t="s">
        <f>ROUND(($U$82*$O40/$O$80),3)</f>
        <v>430</v>
      </c>
      <c r="S40" t="s">
        <v>76</v>
      </c>
      <c r="T40" s="3">
        <v>45867.744</v>
      </c>
      <c r="U40" s="3">
        <v>210481.604</v>
      </c>
    </row>
    <row r="41" ht="15.75" customHeight="1">
      <c r="A41" t="s">
        <f>S41</f>
        <v>77</v>
      </c>
      <c r="B41" s="4" t="s">
        <f>TRUNC(F41,0)</f>
        <v>253</v>
      </c>
      <c r="C41" s="4" t="s">
        <f>TRUNC((F41-B41)*60,0)</f>
        <v>235</v>
      </c>
      <c r="D41" s="4" t="s">
        <f>ROUND((F41-B41-C41/60)*3600,0)</f>
        <v>394</v>
      </c>
      <c r="E41" s="4" t="s">
        <f>E40+E$84</f>
        <v>200</v>
      </c>
      <c r="F41" s="4" t="s">
        <f>G41+H41/60+I41/3600-E41/3600</f>
        <v>253</v>
      </c>
      <c r="G41" s="4" t="s">
        <f>TRUNC(J41,0)</f>
        <v>253</v>
      </c>
      <c r="H41" s="4" t="s">
        <f>TRUNC((J41-G41)*60,0)</f>
        <v>235</v>
      </c>
      <c r="I41" s="4" t="s">
        <f>ROUND(((J41-G41)-H41/60)*3600,0)</f>
        <v>381</v>
      </c>
      <c r="J41" s="4" t="s">
        <f>IF(K41&lt;0,K41+360,K41)</f>
        <v>253</v>
      </c>
      <c r="K41" s="4" t="s">
        <f>ATAN2(N41,Q41)/PI()*180</f>
        <v>253</v>
      </c>
      <c r="L41" s="3" t="s">
        <f>ROUND((SQRT(N41^2+Q41^2)),5)</f>
        <v>537</v>
      </c>
      <c r="M41" s="3" t="s">
        <f>SQRT((T41-T40)^2+(U41-U40)^2)</f>
        <v>538</v>
      </c>
      <c r="N41" s="3" t="s">
        <f>T41-T40-P41</f>
        <v>539</v>
      </c>
      <c r="O41" s="3">
        <v>39.30877</v>
      </c>
      <c r="P41" s="3" t="s">
        <f>ROUND(($T$82*$O41/$O$80),3)</f>
        <v>427</v>
      </c>
      <c r="Q41" s="3" t="s">
        <f>U41-U40-R41</f>
        <v>540</v>
      </c>
      <c r="R41" s="3" t="s">
        <f>ROUND(($U$82*$O41/$O$80),3)</f>
        <v>434</v>
      </c>
      <c r="S41" t="s">
        <v>77</v>
      </c>
      <c r="T41" s="3">
        <v>45892.216</v>
      </c>
      <c r="U41" s="3">
        <v>210512.366</v>
      </c>
    </row>
    <row r="42" ht="15.75" customHeight="1">
      <c r="A42" t="s">
        <f>S42</f>
        <v>78</v>
      </c>
      <c r="B42" s="4" t="s">
        <f>TRUNC(F42,0)</f>
        <v>209</v>
      </c>
      <c r="C42" s="4" t="s">
        <f>TRUNC((F42-B42)*60,0)</f>
        <v>159</v>
      </c>
      <c r="D42" s="4" t="s">
        <f>ROUND((F42-B42-C42/60)*3600,0)</f>
        <v>226</v>
      </c>
      <c r="E42" s="4" t="s">
        <f>E41+E$84</f>
        <v>346</v>
      </c>
      <c r="F42" s="4" t="s">
        <f>G42+H42/60+I42/3600-E42/3600</f>
        <v>209</v>
      </c>
      <c r="G42" s="4" t="s">
        <f>TRUNC(J42,0)</f>
        <v>209</v>
      </c>
      <c r="H42" s="4" t="s">
        <f>TRUNC((J42-G42)*60,0)</f>
        <v>159</v>
      </c>
      <c r="I42" s="4" t="s">
        <f>ROUND(((J42-G42)-H42/60)*3600,0)</f>
        <v>241</v>
      </c>
      <c r="J42" s="4" t="s">
        <f>IF(K42&lt;0,K42+360,K42)</f>
        <v>209</v>
      </c>
      <c r="K42" s="4" t="s">
        <f>ATAN2(N42,Q42)/PI()*180</f>
        <v>209</v>
      </c>
      <c r="L42" s="3" t="s">
        <f>ROUND((SQRT(N42^2+Q42^2)),5)</f>
        <v>541</v>
      </c>
      <c r="M42" s="3" t="s">
        <f>SQRT((T42-T41)^2+(U42-U41)^2)</f>
        <v>542</v>
      </c>
      <c r="N42" s="3" t="s">
        <f>T42-T41-P42</f>
        <v>543</v>
      </c>
      <c r="O42" s="3">
        <v>18.68552</v>
      </c>
      <c r="P42" s="3" t="s">
        <f>ROUND(($T$82*$O42/$O$80),3)</f>
        <v>427</v>
      </c>
      <c r="Q42" s="3" t="s">
        <f>U42-U41-R42</f>
        <v>544</v>
      </c>
      <c r="R42" s="3" t="s">
        <f>ROUND(($U$82*$O42/$O$80),3)</f>
        <v>427</v>
      </c>
      <c r="S42" t="s">
        <v>78</v>
      </c>
      <c r="T42" s="3">
        <v>45902.854999999996</v>
      </c>
      <c r="U42" s="3">
        <v>210527.727</v>
      </c>
    </row>
    <row r="43" ht="15.75" customHeight="1">
      <c r="A43" t="s">
        <f>S43</f>
        <v>79</v>
      </c>
      <c r="B43" s="4" t="s">
        <f>TRUNC(F43,0)</f>
        <v>153</v>
      </c>
      <c r="C43" s="4" t="s">
        <f>TRUNC((F43-B43)*60,0)</f>
        <v>346</v>
      </c>
      <c r="D43" s="4" t="s">
        <f>ROUND((F43-B43-C43/60)*3600,0)</f>
        <v>250</v>
      </c>
      <c r="E43" s="4" t="s">
        <f>E42+E$84</f>
        <v>212</v>
      </c>
      <c r="F43" s="4" t="s">
        <f>G43+H43/60+I43/3600-E43/3600</f>
        <v>381</v>
      </c>
      <c r="G43" s="4" t="s">
        <f>TRUNC(J43,0)</f>
        <v>153</v>
      </c>
      <c r="H43" s="4" t="s">
        <f>TRUNC((J43-G43)*60,0)</f>
        <v>212</v>
      </c>
      <c r="I43" s="4" t="s">
        <f>ROUND(((J43-G43)-H43/60)*3600,0)</f>
        <v>169</v>
      </c>
      <c r="J43" s="4" t="s">
        <f>IF(K43&lt;0,K43+360,K43)</f>
        <v>381</v>
      </c>
      <c r="K43" s="4" t="s">
        <f>ATAN2(N43,Q43)/PI()*180</f>
        <v>381</v>
      </c>
      <c r="L43" s="3" t="s">
        <f>ROUND((SQRT(N43^2+Q43^2)),5)</f>
        <v>545</v>
      </c>
      <c r="M43" s="3" t="s">
        <f>SQRT((T43-T42)^2+(U43-U42)^2)</f>
        <v>546</v>
      </c>
      <c r="N43" s="3" t="s">
        <f>T43-T42-P43</f>
        <v>547</v>
      </c>
      <c r="O43" s="3">
        <v>38.97991</v>
      </c>
      <c r="P43" s="3" t="s">
        <f>ROUND(($T$82*$O43/$O$80),3)</f>
        <v>427</v>
      </c>
      <c r="Q43" s="3" t="s">
        <f>U43-U42-R43</f>
        <v>548</v>
      </c>
      <c r="R43" s="3" t="s">
        <f>ROUND(($U$82*$O43/$O$80),3)</f>
        <v>434</v>
      </c>
      <c r="S43" t="s">
        <v>79</v>
      </c>
      <c r="T43" s="3">
        <v>45930.133</v>
      </c>
      <c r="U43" s="3">
        <v>210555.57200000001</v>
      </c>
    </row>
    <row r="44" ht="15.75" customHeight="1">
      <c r="A44" t="s">
        <f>S44</f>
        <v>80</v>
      </c>
      <c r="B44" s="4" t="s">
        <f>TRUNC(F44,0)</f>
        <v>549</v>
      </c>
      <c r="C44" s="4" t="s">
        <f>TRUNC((F44-B44)*60,0)</f>
        <v>267</v>
      </c>
      <c r="D44" s="4" t="s">
        <f>ROUND((F44-B44-C44/60)*3600,0)</f>
        <v>198</v>
      </c>
      <c r="E44" s="4" t="s">
        <f>E43+E$84</f>
        <v>214</v>
      </c>
      <c r="F44" s="4" t="s">
        <f>G44+H44/60+I44/3600-E44/3600</f>
        <v>549</v>
      </c>
      <c r="G44" s="4" t="s">
        <f>TRUNC(J44,0)</f>
        <v>549</v>
      </c>
      <c r="H44" s="4" t="s">
        <f>TRUNC((J44-G44)*60,0)</f>
        <v>262</v>
      </c>
      <c r="I44" s="4" t="s">
        <f>ROUND(((J44-G44)-H44/60)*3600,0)</f>
        <v>439</v>
      </c>
      <c r="J44" s="4" t="s">
        <f>IF(K44&lt;0,K44+360,K44)</f>
        <v>549</v>
      </c>
      <c r="K44" s="4" t="s">
        <f>ATAN2(N44,Q44)/PI()*180</f>
        <v>550</v>
      </c>
      <c r="L44" s="3" t="s">
        <f>ROUND((SQRT(N44^2+Q44^2)),5)</f>
        <v>551</v>
      </c>
      <c r="M44" s="3" t="s">
        <f>SQRT((T44-T43)^2+(U44-U43)^2)</f>
        <v>551</v>
      </c>
      <c r="N44" s="3" t="s">
        <f>T44-T43-P44</f>
        <v>552</v>
      </c>
      <c r="O44" s="3">
        <v>25.32859</v>
      </c>
      <c r="P44" s="3" t="s">
        <f>ROUND(($T$82*$O44/$O$80),3)</f>
        <v>427</v>
      </c>
      <c r="Q44" s="3" t="s">
        <f>U44-U43-R44</f>
        <v>553</v>
      </c>
      <c r="R44" s="3" t="s">
        <f>ROUND(($U$82*$O44/$O$80),3)</f>
        <v>427</v>
      </c>
      <c r="S44" t="s">
        <v>80</v>
      </c>
      <c r="T44" s="3">
        <v>45948.481999999996</v>
      </c>
      <c r="U44" s="3">
        <v>210538.112</v>
      </c>
    </row>
    <row r="45" ht="15.75" customHeight="1">
      <c r="A45" t="s">
        <f>S45</f>
        <v>81</v>
      </c>
      <c r="B45" s="4" t="s">
        <f>TRUNC(F45,0)</f>
        <v>214</v>
      </c>
      <c r="C45" s="4" t="s">
        <f>TRUNC((F45-B45)*60,0)</f>
        <v>212</v>
      </c>
      <c r="D45" s="4" t="s">
        <f>ROUND((F45-B45-C45/60)*3600,0)</f>
        <v>135</v>
      </c>
      <c r="E45" s="4" t="s">
        <f>E44+E$84</f>
        <v>178</v>
      </c>
      <c r="F45" s="4" t="s">
        <f>G45+H45/60+I45/3600-E45/3600</f>
        <v>178</v>
      </c>
      <c r="G45" s="4" t="s">
        <f>TRUNC(J45,0)</f>
        <v>214</v>
      </c>
      <c r="H45" s="4" t="s">
        <f>TRUNC((J45-G45)*60,0)</f>
        <v>212</v>
      </c>
      <c r="I45" s="4" t="s">
        <f>ROUND(((J45-G45)-H45/60)*3600,0)</f>
        <v>190</v>
      </c>
      <c r="J45" s="4" t="s">
        <f>IF(K45&lt;0,K45+360,K45)</f>
        <v>178</v>
      </c>
      <c r="K45" s="4" t="s">
        <f>ATAN2(N45,Q45)/PI()*180</f>
        <v>178</v>
      </c>
      <c r="L45" s="3" t="s">
        <f>ROUND((SQRT(N45^2+Q45^2)),5)</f>
        <v>554</v>
      </c>
      <c r="M45" s="3" t="s">
        <f>SQRT((T45-T44)^2+(U45-U44)^2)</f>
        <v>555</v>
      </c>
      <c r="N45" s="3" t="s">
        <f>T45-T44-P45</f>
        <v>556</v>
      </c>
      <c r="O45" s="3">
        <v>19.07021</v>
      </c>
      <c r="P45" s="3" t="s">
        <f>ROUND(($T$82*$O45/$O$80),3)</f>
        <v>427</v>
      </c>
      <c r="Q45" s="3" t="s">
        <f>U45-U44-R45</f>
        <v>557</v>
      </c>
      <c r="R45" s="3" t="s">
        <f>ROUND(($U$82*$O45/$O$80),3)</f>
        <v>427</v>
      </c>
      <c r="S45" t="s">
        <v>81</v>
      </c>
      <c r="T45" s="3">
        <v>45963.792</v>
      </c>
      <c r="U45" s="3">
        <v>210549.482</v>
      </c>
    </row>
    <row r="46" ht="15.75" customHeight="1">
      <c r="A46" t="s">
        <f>S46</f>
        <v>82</v>
      </c>
      <c r="B46" s="4" t="s">
        <f>TRUNC(F46,0)</f>
        <v>363</v>
      </c>
      <c r="C46" s="4" t="s">
        <f>TRUNC((F46-B46)*60,0)</f>
        <v>247</v>
      </c>
      <c r="D46" s="4" t="s">
        <f>ROUND((F46-B46-C46/60)*3600,0)</f>
        <v>253</v>
      </c>
      <c r="E46" s="4" t="s">
        <f>E45+E$84</f>
        <v>244</v>
      </c>
      <c r="F46" s="4" t="s">
        <f>G46+H46/60+I46/3600-E46/3600</f>
        <v>259</v>
      </c>
      <c r="G46" s="4" t="s">
        <f>TRUNC(J46,0)</f>
        <v>363</v>
      </c>
      <c r="H46" s="4" t="s">
        <f>TRUNC((J46-G46)*60,0)</f>
        <v>198</v>
      </c>
      <c r="I46" s="4" t="s">
        <f>ROUND(((J46-G46)-H46/60)*3600,0)</f>
        <v>251</v>
      </c>
      <c r="J46" s="4" t="s">
        <f>IF(K46&lt;0,K46+360,K46)</f>
        <v>259</v>
      </c>
      <c r="K46" s="4" t="s">
        <f>ATAN2(N46,Q46)/PI()*180</f>
        <v>558</v>
      </c>
      <c r="L46" s="3" t="s">
        <f>ROUND((SQRT(N46^2+Q46^2)),5)</f>
        <v>559</v>
      </c>
      <c r="M46" s="3" t="s">
        <f>SQRT((T46-T45)^2+(U46-U45)^2)</f>
        <v>560</v>
      </c>
      <c r="N46" s="3" t="s">
        <f>T46-T45-P46</f>
        <v>561</v>
      </c>
      <c r="O46" s="3">
        <v>52.59445</v>
      </c>
      <c r="P46" s="3" t="s">
        <f>ROUND(($T$82*$O46/$O$80),3)</f>
        <v>434</v>
      </c>
      <c r="Q46" s="3" t="s">
        <f>U46-U45-R46</f>
        <v>562</v>
      </c>
      <c r="R46" s="3" t="s">
        <f>ROUND(($U$82*$O46/$O$80),3)</f>
        <v>434</v>
      </c>
      <c r="S46" t="s">
        <v>82</v>
      </c>
      <c r="T46" s="3">
        <v>45995.842</v>
      </c>
      <c r="U46" s="3">
        <v>210507.781</v>
      </c>
    </row>
    <row r="47" ht="15.75" customHeight="1">
      <c r="A47" t="s">
        <f>S47</f>
        <v>83</v>
      </c>
      <c r="B47" s="4" t="s">
        <f>TRUNC(F47,0)</f>
        <v>310</v>
      </c>
      <c r="C47" s="4" t="s">
        <f>TRUNC((F47-B47)*60,0)</f>
        <v>250</v>
      </c>
      <c r="D47" s="4" t="s">
        <f>ROUND((F47-B47-C47/60)*3600,0)</f>
        <v>253</v>
      </c>
      <c r="E47" s="4" t="s">
        <f>E46+E$84</f>
        <v>241</v>
      </c>
      <c r="F47" s="4" t="s">
        <f>G47+H47/60+I47/3600-E47/3600</f>
        <v>311</v>
      </c>
      <c r="G47" s="4" t="s">
        <f>TRUNC(J47,0)</f>
        <v>310</v>
      </c>
      <c r="H47" s="4" t="s">
        <f>TRUNC((J47-G47)*60,0)</f>
        <v>143</v>
      </c>
      <c r="I47" s="4" t="s">
        <f>ROUND(((J47-G47)-H47/60)*3600,0)</f>
        <v>247</v>
      </c>
      <c r="J47" s="4" t="s">
        <f>IF(K47&lt;0,K47+360,K47)</f>
        <v>311</v>
      </c>
      <c r="K47" s="4" t="s">
        <f>ATAN2(N47,Q47)/PI()*180</f>
        <v>317</v>
      </c>
      <c r="L47" s="3" t="s">
        <f>ROUND((SQRT(N47^2+Q47^2)),5)</f>
        <v>563</v>
      </c>
      <c r="M47" s="3" t="s">
        <f>SQRT((T47-T46)^2+(U47-U46)^2)</f>
        <v>563</v>
      </c>
      <c r="N47" s="3" t="s">
        <f>T47-T46-P47</f>
        <v>564</v>
      </c>
      <c r="O47" s="3">
        <v>6.17359</v>
      </c>
      <c r="P47" s="3" t="s">
        <f>ROUND(($T$82*$O47/$O$80),3)</f>
        <v>430</v>
      </c>
      <c r="Q47" s="3" t="s">
        <f>U47-U46-R47</f>
        <v>565</v>
      </c>
      <c r="R47" s="3" t="s">
        <f>ROUND(($U$82*$O47/$O$80),3)</f>
        <v>430</v>
      </c>
      <c r="S47" t="s">
        <v>83</v>
      </c>
      <c r="T47" s="3">
        <v>46000.032</v>
      </c>
      <c r="U47" s="3">
        <v>210503.247</v>
      </c>
    </row>
    <row r="48" ht="15.75" customHeight="1">
      <c r="A48" t="s">
        <f>S48</f>
        <v>84</v>
      </c>
      <c r="B48" s="4" t="s">
        <f>TRUNC(F48,0)</f>
        <v>566</v>
      </c>
      <c r="C48" s="4" t="s">
        <f>TRUNC((F48-B48)*60,0)</f>
        <v>233</v>
      </c>
      <c r="D48" s="4" t="s">
        <f>ROUND((F48-B48-C48/60)*3600,0)</f>
        <v>465</v>
      </c>
      <c r="E48" s="4" t="s">
        <f>E47+E$84</f>
        <v>321</v>
      </c>
      <c r="F48" s="4" t="s">
        <f>G48+H48/60+I48/3600-E48/3600</f>
        <v>566</v>
      </c>
      <c r="G48" s="4" t="s">
        <f>TRUNC(J48,0)</f>
        <v>566</v>
      </c>
      <c r="H48" s="4" t="s">
        <f>TRUNC((J48-G48)*60,0)</f>
        <v>233</v>
      </c>
      <c r="I48" s="4" t="s">
        <f>ROUND(((J48-G48)-H48/60)*3600,0)</f>
        <v>381</v>
      </c>
      <c r="J48" s="4" t="s">
        <f>IF(K48&lt;0,K48+360,K48)</f>
        <v>566</v>
      </c>
      <c r="K48" s="4" t="s">
        <f>ATAN2(N48,Q48)/PI()*180</f>
        <v>567</v>
      </c>
      <c r="L48" s="3" t="s">
        <f>ROUND((SQRT(N48^2+Q48^2)),5)</f>
        <v>568</v>
      </c>
      <c r="M48" s="3" t="s">
        <f>SQRT((T48-T47)^2+(U48-U47)^2)</f>
        <v>568</v>
      </c>
      <c r="N48" s="3" t="s">
        <f>T48-T47-P48</f>
        <v>569</v>
      </c>
      <c r="O48" s="3">
        <v>19.15844</v>
      </c>
      <c r="P48" s="3" t="s">
        <f>ROUND(($T$82*$O48/$O$80),3)</f>
        <v>427</v>
      </c>
      <c r="Q48" s="3" t="s">
        <f>U48-U47-R48</f>
        <v>570</v>
      </c>
      <c r="R48" s="3" t="s">
        <f>ROUND(($U$82*$O48/$O$80),3)</f>
        <v>427</v>
      </c>
      <c r="S48" t="s">
        <v>84</v>
      </c>
      <c r="T48" s="3">
        <v>46016.530999999995</v>
      </c>
      <c r="U48" s="3">
        <v>210493.509</v>
      </c>
    </row>
    <row r="49" ht="15.75" customHeight="1">
      <c r="A49" t="s">
        <f>S49</f>
        <v>85</v>
      </c>
      <c r="B49" s="4" t="s">
        <f>TRUNC(F49,0)</f>
        <v>363</v>
      </c>
      <c r="C49" s="4" t="s">
        <f>TRUNC((F49-B49)*60,0)</f>
        <v>199</v>
      </c>
      <c r="D49" s="4" t="s">
        <f>ROUND((F49-B49-C49/60)*3600,0)</f>
        <v>181</v>
      </c>
      <c r="E49" s="4" t="s">
        <f>E48+E$84</f>
        <v>205</v>
      </c>
      <c r="F49" s="4" t="s">
        <f>G49+H49/60+I49/3600-E49/3600</f>
        <v>363</v>
      </c>
      <c r="G49" s="4" t="s">
        <f>TRUNC(J49,0)</f>
        <v>363</v>
      </c>
      <c r="H49" s="4" t="s">
        <f>TRUNC((J49-G49)*60,0)</f>
        <v>199</v>
      </c>
      <c r="I49" s="4" t="s">
        <f>ROUND(((J49-G49)-H49/60)*3600,0)</f>
        <v>153</v>
      </c>
      <c r="J49" s="4" t="s">
        <f>IF(K49&lt;0,K49+360,K49)</f>
        <v>363</v>
      </c>
      <c r="K49" s="4" t="s">
        <f>ATAN2(N49,Q49)/PI()*180</f>
        <v>364</v>
      </c>
      <c r="L49" s="3" t="s">
        <f>ROUND((SQRT(N49^2+Q49^2)),5)</f>
        <v>571</v>
      </c>
      <c r="M49" s="3" t="s">
        <f>SQRT((T49-T48)^2+(U49-U48)^2)</f>
        <v>571</v>
      </c>
      <c r="N49" s="3" t="s">
        <f>T49-T48-P49</f>
        <v>572</v>
      </c>
      <c r="O49" s="3">
        <v>24.65205</v>
      </c>
      <c r="P49" s="3" t="s">
        <f>ROUND(($T$82*$O49/$O$80),3)</f>
        <v>427</v>
      </c>
      <c r="Q49" s="3" t="s">
        <f>U49-U48-R49</f>
        <v>573</v>
      </c>
      <c r="R49" s="3" t="s">
        <f>ROUND(($U$82*$O49/$O$80),3)</f>
        <v>427</v>
      </c>
      <c r="S49" t="s">
        <v>85</v>
      </c>
      <c r="T49" s="3">
        <v>46031.441</v>
      </c>
      <c r="U49" s="3">
        <v>210473.877</v>
      </c>
    </row>
    <row r="50" ht="15.75" customHeight="1">
      <c r="A50" t="s">
        <f>S50</f>
        <v>86</v>
      </c>
      <c r="B50" s="4" t="s">
        <f>TRUNC(F50,0)</f>
        <v>185</v>
      </c>
      <c r="C50" s="4" t="s">
        <f>TRUNC((F50-B50)*60,0)</f>
        <v>143</v>
      </c>
      <c r="D50" s="4" t="s">
        <f>ROUND((F50-B50-C50/60)*3600,0)</f>
        <v>135</v>
      </c>
      <c r="E50" s="4" t="s">
        <f>E49+E$84</f>
        <v>250</v>
      </c>
      <c r="F50" s="4" t="s">
        <f>G50+H50/60+I50/3600-E50/3600</f>
        <v>244</v>
      </c>
      <c r="G50" s="4" t="s">
        <f>TRUNC(J50,0)</f>
        <v>185</v>
      </c>
      <c r="H50" s="4" t="s">
        <f>TRUNC((J50-G50)*60,0)</f>
        <v>153</v>
      </c>
      <c r="I50" s="4" t="s">
        <f>ROUND(((J50-G50)-H50/60)*3600,0)</f>
        <v>186</v>
      </c>
      <c r="J50" s="4" t="s">
        <f>IF(K50&lt;0,K50+360,K50)</f>
        <v>244</v>
      </c>
      <c r="K50" s="4" t="s">
        <f>ATAN2(N50,Q50)/PI()*180</f>
        <v>244</v>
      </c>
      <c r="L50" s="3" t="s">
        <f>ROUND((SQRT(N50^2+Q50^2)),5)</f>
        <v>574</v>
      </c>
      <c r="M50" s="3" t="s">
        <f>SQRT((T50-T49)^2+(U50-U49)^2)</f>
        <v>575</v>
      </c>
      <c r="N50" s="3" t="s">
        <f>T50-T49-P50</f>
        <v>576</v>
      </c>
      <c r="O50" s="3">
        <v>27.33513</v>
      </c>
      <c r="P50" s="3" t="s">
        <f>ROUND(($T$82*$O50/$O$80),3)</f>
        <v>427</v>
      </c>
      <c r="Q50" s="3" t="s">
        <f>U50-U49-R50</f>
        <v>577</v>
      </c>
      <c r="R50" s="3" t="s">
        <f>ROUND(($U$82*$O50/$O$80),3)</f>
        <v>427</v>
      </c>
      <c r="S50" t="s">
        <v>86</v>
      </c>
      <c r="T50" s="3">
        <v>46052.759</v>
      </c>
      <c r="U50" s="3">
        <v>210490.987</v>
      </c>
    </row>
    <row r="51" ht="15.75" customHeight="1">
      <c r="A51" t="s">
        <f>S51</f>
        <v>87</v>
      </c>
      <c r="B51" s="4" t="s">
        <f>TRUNC(F51,0)</f>
        <v>185</v>
      </c>
      <c r="C51" s="4" t="s">
        <f>TRUNC((F51-B51)*60,0)</f>
        <v>223</v>
      </c>
      <c r="D51" s="4" t="s">
        <f>ROUND((F51-B51-C51/60)*3600,0)</f>
        <v>199</v>
      </c>
      <c r="E51" s="4" t="s">
        <f>E50+E$84</f>
        <v>143</v>
      </c>
      <c r="F51" s="4" t="s">
        <f>G51+H51/60+I51/3600-E51/3600</f>
        <v>185</v>
      </c>
      <c r="G51" s="4" t="s">
        <f>TRUNC(J51,0)</f>
        <v>185</v>
      </c>
      <c r="H51" s="4" t="s">
        <f>TRUNC((J51-G51)*60,0)</f>
        <v>223</v>
      </c>
      <c r="I51" s="4" t="s">
        <f>ROUND(((J51-G51)-H51/60)*3600,0)</f>
        <v>190</v>
      </c>
      <c r="J51" s="4" t="s">
        <f>IF(K51&lt;0,K51+360,K51)</f>
        <v>185</v>
      </c>
      <c r="K51" s="4" t="s">
        <f>ATAN2(N51,Q51)/PI()*180</f>
        <v>185</v>
      </c>
      <c r="L51" s="3" t="s">
        <f>ROUND((SQRT(N51^2+Q51^2)),5)</f>
        <v>578</v>
      </c>
      <c r="M51" s="3" t="s">
        <f>SQRT((T51-T50)^2+(U51-U50)^2)</f>
        <v>579</v>
      </c>
      <c r="N51" s="3" t="s">
        <f>T51-T50-P51</f>
        <v>580</v>
      </c>
      <c r="O51" s="3">
        <v>23.28267</v>
      </c>
      <c r="P51" s="3" t="s">
        <f>ROUND(($T$82*$O51/$O$80),3)</f>
        <v>427</v>
      </c>
      <c r="Q51" s="3" t="s">
        <f>U51-U50-R51</f>
        <v>581</v>
      </c>
      <c r="R51" s="3" t="s">
        <f>ROUND(($U$82*$O51/$O$80),3)</f>
        <v>427</v>
      </c>
      <c r="S51" t="s">
        <v>87</v>
      </c>
      <c r="T51" s="3">
        <v>46071.056</v>
      </c>
      <c r="U51" s="3">
        <v>210505.385</v>
      </c>
    </row>
    <row r="52" ht="15.75" customHeight="1">
      <c r="A52" t="s">
        <f>S52</f>
        <v>88</v>
      </c>
      <c r="B52" s="4" t="s">
        <f>TRUNC(F52,0)</f>
        <v>346</v>
      </c>
      <c r="C52" s="4" t="s">
        <f>TRUNC((F52-B52)*60,0)</f>
        <v>178</v>
      </c>
      <c r="D52" s="4" t="s">
        <f>ROUND((F52-B52-C52/60)*3600,0)</f>
        <v>190</v>
      </c>
      <c r="E52" s="4" t="s">
        <f>E51+E$84</f>
        <v>153</v>
      </c>
      <c r="F52" s="4" t="s">
        <f>G52+H52/60+I52/3600-E52/3600</f>
        <v>212</v>
      </c>
      <c r="G52" s="4" t="s">
        <f>TRUNC(J52,0)</f>
        <v>346</v>
      </c>
      <c r="H52" s="4" t="s">
        <f>TRUNC((J52-G52)*60,0)</f>
        <v>185</v>
      </c>
      <c r="I52" s="4" t="s">
        <f>ROUND(((J52-G52)-H52/60)*3600,0)</f>
        <v>321</v>
      </c>
      <c r="J52" s="4" t="s">
        <f>IF(K52&lt;0,K52+360,K52)</f>
        <v>212</v>
      </c>
      <c r="K52" s="4" t="s">
        <f>ATAN2(N52,Q52)/PI()*180</f>
        <v>212</v>
      </c>
      <c r="L52" s="3" t="s">
        <f>ROUND((SQRT(N52^2+Q52^2)),5)</f>
        <v>582</v>
      </c>
      <c r="M52" s="3" t="s">
        <f>SQRT((T52-T51)^2+(U52-U51)^2)</f>
        <v>583</v>
      </c>
      <c r="N52" s="3" t="s">
        <f>T52-T51-P52</f>
        <v>584</v>
      </c>
      <c r="O52" s="3">
        <v>26.23597</v>
      </c>
      <c r="P52" s="3" t="s">
        <f>ROUND(($T$82*$O52/$O$80),3)</f>
        <v>427</v>
      </c>
      <c r="Q52" s="3" t="s">
        <f>U52-U51-R52</f>
        <v>585</v>
      </c>
      <c r="R52" s="3" t="s">
        <f>ROUND(($U$82*$O52/$O$80),3)</f>
        <v>427</v>
      </c>
      <c r="S52" t="s">
        <v>88</v>
      </c>
      <c r="T52" s="3">
        <v>46092.64</v>
      </c>
      <c r="U52" s="3">
        <v>210520.3</v>
      </c>
    </row>
    <row r="53" ht="15.75" customHeight="1">
      <c r="A53" t="s">
        <f>S53</f>
        <v>89</v>
      </c>
      <c r="B53" s="4" t="s">
        <f>TRUNC(F53,0)</f>
        <v>586</v>
      </c>
      <c r="C53" s="4" t="s">
        <f>TRUNC((F53-B53)*60,0)</f>
        <v>179</v>
      </c>
      <c r="D53" s="4" t="s">
        <f>ROUND((F53-B53-C53/60)*3600,0)</f>
        <v>133</v>
      </c>
      <c r="E53" s="4" t="s">
        <f>E52+E$84</f>
        <v>381</v>
      </c>
      <c r="F53" s="4" t="s">
        <f>G53+H53/60+I53/3600-E53/3600</f>
        <v>336</v>
      </c>
      <c r="G53" s="4" t="s">
        <f>TRUNC(J53,0)</f>
        <v>586</v>
      </c>
      <c r="H53" s="4" t="s">
        <f>TRUNC((J53-G53)*60,0)</f>
        <v>193</v>
      </c>
      <c r="I53" s="4" t="s">
        <f>ROUND(((J53-G53)-H53/60)*3600,0)</f>
        <v>186</v>
      </c>
      <c r="J53" s="4" t="s">
        <f>IF(K53&lt;0,K53+360,K53)</f>
        <v>336</v>
      </c>
      <c r="K53" s="4" t="s">
        <f>ATAN2(N53,Q53)/PI()*180</f>
        <v>338</v>
      </c>
      <c r="L53" s="3" t="s">
        <f>ROUND((SQRT(N53^2+Q53^2)),5)</f>
        <v>587</v>
      </c>
      <c r="M53" s="3" t="s">
        <f>SQRT((T53-T52)^2+(U53-U52)^2)</f>
        <v>588</v>
      </c>
      <c r="N53" s="3" t="s">
        <f>T53-T52-P53</f>
        <v>589</v>
      </c>
      <c r="O53" s="3">
        <v>12.26991</v>
      </c>
      <c r="P53" s="3" t="s">
        <f>ROUND(($T$82*$O53/$O$80),3)</f>
        <v>430</v>
      </c>
      <c r="Q53" s="3" t="s">
        <f>U53-U52-R53</f>
        <v>590</v>
      </c>
      <c r="R53" s="3" t="s">
        <f>ROUND(($U$82*$O53/$O$80),3)</f>
        <v>427</v>
      </c>
      <c r="S53" t="s">
        <v>89</v>
      </c>
      <c r="T53" s="3">
        <v>46102.305</v>
      </c>
      <c r="U53" s="3">
        <v>210512.741</v>
      </c>
    </row>
    <row r="54" ht="15.75" customHeight="1">
      <c r="A54" t="s">
        <f>S54</f>
        <v>90</v>
      </c>
      <c r="B54" s="4" t="s">
        <f>TRUNC(F54,0)</f>
        <v>206</v>
      </c>
      <c r="C54" s="4" t="s">
        <f>TRUNC((F54-B54)*60,0)</f>
        <v>174</v>
      </c>
      <c r="D54" s="4" t="s">
        <f>ROUND((F54-B54-C54/60)*3600,0)</f>
        <v>226</v>
      </c>
      <c r="E54" s="4" t="s">
        <f>E53+E$84</f>
        <v>286</v>
      </c>
      <c r="F54" s="4" t="s">
        <f>G54+H54/60+I54/3600-E54/3600</f>
        <v>591</v>
      </c>
      <c r="G54" s="4" t="s">
        <f>TRUNC(J54,0)</f>
        <v>206</v>
      </c>
      <c r="H54" s="4" t="s">
        <f>TRUNC((J54-G54)*60,0)</f>
        <v>174</v>
      </c>
      <c r="I54" s="4" t="s">
        <f>ROUND(((J54-G54)-H54/60)*3600,0)</f>
        <v>142</v>
      </c>
      <c r="J54" s="4" t="s">
        <f>IF(K54&lt;0,K54+360,K54)</f>
        <v>591</v>
      </c>
      <c r="K54" s="4" t="s">
        <f>ATAN2(N54,Q54)/PI()*180</f>
        <v>592</v>
      </c>
      <c r="L54" s="3" t="s">
        <f>ROUND((SQRT(N54^2+Q54^2)),5)</f>
        <v>593</v>
      </c>
      <c r="M54" s="3" t="s">
        <f>SQRT((T54-T53)^2+(U54-U53)^2)</f>
        <v>594</v>
      </c>
      <c r="N54" s="3" t="s">
        <f>T54-T53-P54</f>
        <v>595</v>
      </c>
      <c r="O54" s="3">
        <v>29.51481</v>
      </c>
      <c r="P54" s="3" t="s">
        <f>ROUND(($T$82*$O54/$O$80),3)</f>
        <v>427</v>
      </c>
      <c r="Q54" s="3" t="s">
        <f>U54-U53-R54</f>
        <v>596</v>
      </c>
      <c r="R54" s="3" t="s">
        <f>ROUND(($U$82*$O54/$O$80),3)</f>
        <v>427</v>
      </c>
      <c r="S54" t="s">
        <v>90</v>
      </c>
      <c r="T54" s="3">
        <v>46078.676</v>
      </c>
      <c r="U54" s="3">
        <v>210495.055</v>
      </c>
    </row>
    <row r="55" ht="15.75" customHeight="1">
      <c r="A55" t="s">
        <f>S55</f>
        <v>91</v>
      </c>
      <c r="B55" s="4" t="s">
        <f>TRUNC(F55,0)</f>
        <v>310</v>
      </c>
      <c r="C55" s="4" t="s">
        <f>TRUNC((F55-B55)*60,0)</f>
        <v>143</v>
      </c>
      <c r="D55" s="4" t="s">
        <f>ROUND((F55-B55-C55/60)*3600,0)</f>
        <v>171</v>
      </c>
      <c r="E55" s="4" t="s">
        <f>E54+E$84</f>
        <v>174</v>
      </c>
      <c r="F55" s="4" t="s">
        <f>G55+H55/60+I55/3600-E55/3600</f>
        <v>311</v>
      </c>
      <c r="G55" s="4" t="s">
        <f>TRUNC(J55,0)</f>
        <v>310</v>
      </c>
      <c r="H55" s="4" t="s">
        <f>TRUNC((J55-G55)*60,0)</f>
        <v>153</v>
      </c>
      <c r="I55" s="4" t="s">
        <f>ROUND(((J55-G55)-H55/60)*3600,0)</f>
        <v>205</v>
      </c>
      <c r="J55" s="4" t="s">
        <f>IF(K55&lt;0,K55+360,K55)</f>
        <v>311</v>
      </c>
      <c r="K55" s="4" t="s">
        <f>ATAN2(N55,Q55)/PI()*180</f>
        <v>317</v>
      </c>
      <c r="L55" s="3" t="s">
        <f>ROUND((SQRT(N55^2+Q55^2)),5)</f>
        <v>597</v>
      </c>
      <c r="M55" s="3" t="s">
        <f>SQRT((T55-T54)^2+(U55-U54)^2)</f>
        <v>597</v>
      </c>
      <c r="N55" s="3" t="s">
        <f>T55-T54-P55</f>
        <v>598</v>
      </c>
      <c r="O55" s="3">
        <v>29.61779</v>
      </c>
      <c r="P55" s="3" t="s">
        <f>ROUND(($T$82*$O55/$O$80),3)</f>
        <v>427</v>
      </c>
      <c r="Q55" s="3" t="s">
        <f>U55-U54-R55</f>
        <v>599</v>
      </c>
      <c r="R55" s="3" t="s">
        <f>ROUND(($U$82*$O55/$O$80),3)</f>
        <v>427</v>
      </c>
      <c r="S55" t="s">
        <v>91</v>
      </c>
      <c r="T55" s="3">
        <v>46098.786</v>
      </c>
      <c r="U55" s="3">
        <v>210473.31100000002</v>
      </c>
    </row>
    <row r="56" ht="15.75" customHeight="1">
      <c r="A56" t="s">
        <f>S56</f>
        <v>92</v>
      </c>
      <c r="B56" s="4" t="s">
        <f>TRUNC(F56,0)</f>
        <v>346</v>
      </c>
      <c r="C56" s="4" t="s">
        <f>TRUNC((F56-B56)*60,0)</f>
        <v>250</v>
      </c>
      <c r="D56" s="4" t="s">
        <f>ROUND((F56-B56-C56/60)*3600,0)</f>
        <v>185</v>
      </c>
      <c r="E56" s="4" t="s">
        <f>E55+E$84</f>
        <v>213</v>
      </c>
      <c r="F56" s="4" t="s">
        <f>G56+H56/60+I56/3600-E56/3600</f>
        <v>212</v>
      </c>
      <c r="G56" s="4" t="s">
        <f>TRUNC(J56,0)</f>
        <v>346</v>
      </c>
      <c r="H56" s="4" t="s">
        <f>TRUNC((J56-G56)*60,0)</f>
        <v>143</v>
      </c>
      <c r="I56" s="4" t="s">
        <f>ROUND(((J56-G56)-H56/60)*3600,0)</f>
        <v>238</v>
      </c>
      <c r="J56" s="4" t="s">
        <f>IF(K56&lt;0,K56+360,K56)</f>
        <v>212</v>
      </c>
      <c r="K56" s="4" t="s">
        <f>ATAN2(N56,Q56)/PI()*180</f>
        <v>212</v>
      </c>
      <c r="L56" s="3" t="s">
        <f>ROUND((SQRT(N56^2+Q56^2)),5)</f>
        <v>600</v>
      </c>
      <c r="M56" s="3" t="s">
        <f>SQRT((T56-T55)^2+(U56-U55)^2)</f>
        <v>600</v>
      </c>
      <c r="N56" s="3" t="s">
        <f>T56-T55-P56</f>
        <v>601</v>
      </c>
      <c r="O56" s="3">
        <v>1.10376</v>
      </c>
      <c r="P56" s="3" t="s">
        <f>ROUND(($T$82*$O56/$O$80),3)</f>
        <v>430</v>
      </c>
      <c r="Q56" s="3" t="s">
        <f>U56-U55-R56</f>
        <v>602</v>
      </c>
      <c r="R56" s="3" t="s">
        <f>ROUND(($U$82*$O56/$O$80),3)</f>
        <v>430</v>
      </c>
      <c r="S56" t="s">
        <v>92</v>
      </c>
      <c r="T56" s="3">
        <v>46099.693</v>
      </c>
      <c r="U56" s="3">
        <v>210473.94</v>
      </c>
    </row>
    <row r="57" ht="15.75" customHeight="1">
      <c r="A57" t="s">
        <f>S57</f>
        <v>93</v>
      </c>
      <c r="B57" s="4" t="s">
        <f>TRUNC(F57,0)</f>
        <v>296</v>
      </c>
      <c r="C57" s="4" t="s">
        <f>TRUNC((F57-B57)*60,0)</f>
        <v>212</v>
      </c>
      <c r="D57" s="4" t="s">
        <f>ROUND((F57-B57-C57/60)*3600,0)</f>
        <v>174</v>
      </c>
      <c r="E57" s="4" t="s">
        <f>E56+E$84</f>
        <v>253</v>
      </c>
      <c r="F57" s="4" t="s">
        <f>G57+H57/60+I57/3600-E57/3600</f>
        <v>297</v>
      </c>
      <c r="G57" s="4" t="s">
        <f>TRUNC(J57,0)</f>
        <v>296</v>
      </c>
      <c r="H57" s="4" t="s">
        <f>TRUNC((J57-G57)*60,0)</f>
        <v>214</v>
      </c>
      <c r="I57" s="4" t="s">
        <f>ROUND(((J57-G57)-H57/60)*3600,0)</f>
        <v>244</v>
      </c>
      <c r="J57" s="4" t="s">
        <f>IF(K57&lt;0,K57+360,K57)</f>
        <v>297</v>
      </c>
      <c r="K57" s="4" t="s">
        <f>ATAN2(N57,Q57)/PI()*180</f>
        <v>302</v>
      </c>
      <c r="L57" s="3" t="s">
        <f>ROUND((SQRT(N57^2+Q57^2)),5)</f>
        <v>298</v>
      </c>
      <c r="M57" s="3" t="s">
        <f>SQRT((T57-T56)^2+(U57-U56)^2)</f>
        <v>603</v>
      </c>
      <c r="N57" s="3" t="s">
        <f>T57-T56-P57</f>
        <v>604</v>
      </c>
      <c r="O57" s="3">
        <v>19.7349</v>
      </c>
      <c r="P57" s="3" t="s">
        <f>ROUND(($T$82*$O57/$O$80),3)</f>
        <v>427</v>
      </c>
      <c r="Q57" s="3" t="s">
        <f>U57-U56-R57</f>
        <v>605</v>
      </c>
      <c r="R57" s="3" t="s">
        <f>ROUND(($U$82*$O57/$O$80),3)</f>
        <v>427</v>
      </c>
      <c r="S57" t="s">
        <v>93</v>
      </c>
      <c r="T57" s="3">
        <v>46109.742</v>
      </c>
      <c r="U57" s="3">
        <v>210456.958</v>
      </c>
    </row>
    <row r="58" ht="15.75" customHeight="1">
      <c r="A58" t="s">
        <f>S58</f>
        <v>94</v>
      </c>
      <c r="B58" s="4" t="s">
        <f>TRUNC(F58,0)</f>
        <v>303</v>
      </c>
      <c r="C58" s="4" t="s">
        <f>TRUNC((F58-B58)*60,0)</f>
        <v>142</v>
      </c>
      <c r="D58" s="4" t="s">
        <f>ROUND((F58-B58-C58/60)*3600,0)</f>
        <v>262</v>
      </c>
      <c r="E58" s="4" t="s">
        <f>E57+E$84</f>
        <v>201</v>
      </c>
      <c r="F58" s="4" t="s">
        <f>G58+H58/60+I58/3600-E58/3600</f>
        <v>304</v>
      </c>
      <c r="G58" s="4" t="s">
        <f>TRUNC(J58,0)</f>
        <v>303</v>
      </c>
      <c r="H58" s="4" t="s">
        <f>TRUNC((J58-G58)*60,0)</f>
        <v>171</v>
      </c>
      <c r="I58" s="4" t="s">
        <f>ROUND(((J58-G58)-H58/60)*3600,0)</f>
        <v>159</v>
      </c>
      <c r="J58" s="4" t="s">
        <f>IF(K58&lt;0,K58+360,K58)</f>
        <v>304</v>
      </c>
      <c r="K58" s="4" t="s">
        <f>ATAN2(N58,Q58)/PI()*180</f>
        <v>309</v>
      </c>
      <c r="L58" s="3" t="s">
        <f>ROUND((SQRT(N58^2+Q58^2)),5)</f>
        <v>305</v>
      </c>
      <c r="M58" s="3" t="s">
        <f>SQRT((T58-T57)^2+(U58-U57)^2)</f>
        <v>606</v>
      </c>
      <c r="N58" s="3" t="s">
        <f>T58-T57-P58</f>
        <v>607</v>
      </c>
      <c r="O58" s="3">
        <v>13.32154</v>
      </c>
      <c r="P58" s="3" t="s">
        <f>ROUND(($T$82*$O58/$O$80),3)</f>
        <v>430</v>
      </c>
      <c r="Q58" s="3" t="s">
        <f>U58-U57-R58</f>
        <v>608</v>
      </c>
      <c r="R58" s="3" t="s">
        <f>ROUND(($U$82*$O58/$O$80),3)</f>
        <v>427</v>
      </c>
      <c r="S58" t="s">
        <v>94</v>
      </c>
      <c r="T58" s="3">
        <v>46117.554</v>
      </c>
      <c r="U58" s="3">
        <v>210446.169</v>
      </c>
    </row>
    <row r="59" ht="15.75" customHeight="1">
      <c r="A59" t="s">
        <f>S59</f>
        <v>95</v>
      </c>
      <c r="B59" s="4" t="s">
        <f>TRUNC(F59,0)</f>
        <v>310</v>
      </c>
      <c r="C59" s="4" t="s">
        <f>TRUNC((F59-B59)*60,0)</f>
        <v>179</v>
      </c>
      <c r="D59" s="4" t="s">
        <f>ROUND((F59-B59-C59/60)*3600,0)</f>
        <v>135</v>
      </c>
      <c r="E59" s="4" t="s">
        <f>E58+E$84</f>
        <v>142</v>
      </c>
      <c r="F59" s="4" t="s">
        <f>G59+H59/60+I59/3600-E59/3600</f>
        <v>311</v>
      </c>
      <c r="G59" s="4" t="s">
        <f>TRUNC(J59,0)</f>
        <v>310</v>
      </c>
      <c r="H59" s="4" t="s">
        <f>TRUNC((J59-G59)*60,0)</f>
        <v>193</v>
      </c>
      <c r="I59" s="4" t="s">
        <f>ROUND(((J59-G59)-H59/60)*3600,0)</f>
        <v>199</v>
      </c>
      <c r="J59" s="4" t="s">
        <f>IF(K59&lt;0,K59+360,K59)</f>
        <v>311</v>
      </c>
      <c r="K59" s="4" t="s">
        <f>ATAN2(N59,Q59)/PI()*180</f>
        <v>317</v>
      </c>
      <c r="L59" s="3" t="s">
        <f>ROUND((SQRT(N59^2+Q59^2)),5)</f>
        <v>313</v>
      </c>
      <c r="M59" s="3" t="s">
        <f>SQRT((T59-T58)^2+(U59-U58)^2)</f>
        <v>609</v>
      </c>
      <c r="N59" s="3" t="s">
        <f>T59-T58-P59</f>
        <v>610</v>
      </c>
      <c r="O59" s="3">
        <v>11.39804</v>
      </c>
      <c r="P59" s="3" t="s">
        <f>ROUND(($T$82*$O59/$O$80),3)</f>
        <v>430</v>
      </c>
      <c r="Q59" s="3" t="s">
        <f>U59-U58-R59</f>
        <v>611</v>
      </c>
      <c r="R59" s="3" t="s">
        <f>ROUND(($U$82*$O59/$O$80),3)</f>
        <v>427</v>
      </c>
      <c r="S59" t="s">
        <v>95</v>
      </c>
      <c r="T59" s="3">
        <v>46125.323</v>
      </c>
      <c r="U59" s="3">
        <v>210437.83000000002</v>
      </c>
    </row>
    <row r="60" ht="15.75" customHeight="1">
      <c r="A60" t="s">
        <f>S60</f>
        <v>96</v>
      </c>
      <c r="B60" s="4" t="s">
        <f>TRUNC(F60,0)</f>
        <v>250</v>
      </c>
      <c r="C60" s="4" t="s">
        <f>TRUNC((F60-B60)*60,0)</f>
        <v>260</v>
      </c>
      <c r="D60" s="4" t="s">
        <f>ROUND((F60-B60-C60/60)*3600,0)</f>
        <v>172</v>
      </c>
      <c r="E60" s="4" t="s">
        <f>E59+E$84</f>
        <v>171</v>
      </c>
      <c r="F60" s="4" t="s">
        <f>G60+H60/60+I60/3600-E60/3600</f>
        <v>250</v>
      </c>
      <c r="G60" s="4" t="s">
        <f>TRUNC(J60,0)</f>
        <v>250</v>
      </c>
      <c r="H60" s="4" t="s">
        <f>TRUNC((J60-G60)*60,0)</f>
        <v>260</v>
      </c>
      <c r="I60" s="4" t="s">
        <f>ROUND(((J60-G60)-H60/60)*3600,0)</f>
        <v>171</v>
      </c>
      <c r="J60" s="4" t="s">
        <f>IF(K60&lt;0,K60+360,K60)</f>
        <v>250</v>
      </c>
      <c r="K60" s="4" t="s">
        <f>ATAN2(N60,Q60)/PI()*180</f>
        <v>250</v>
      </c>
      <c r="L60" s="3" t="s">
        <f>ROUND((SQRT(N60^2+Q60^2)),5)</f>
        <v>318</v>
      </c>
      <c r="M60" s="3" t="s">
        <f>SQRT((T60-T59)^2+(U60-U59)^2)</f>
        <v>612</v>
      </c>
      <c r="N60" s="3" t="s">
        <f>T60-T59-P60</f>
        <v>613</v>
      </c>
      <c r="O60" s="3">
        <v>11.76097</v>
      </c>
      <c r="P60" s="3" t="s">
        <f>ROUND(($T$82*$O60/$O$80),3)</f>
        <v>430</v>
      </c>
      <c r="Q60" s="3" t="s">
        <f>U60-U59-R60</f>
        <v>614</v>
      </c>
      <c r="R60" s="3" t="s">
        <f>ROUND(($U$82*$O60/$O$80),3)</f>
        <v>427</v>
      </c>
      <c r="S60" t="s">
        <v>96</v>
      </c>
      <c r="T60" s="3">
        <v>46133.871</v>
      </c>
      <c r="U60" s="3">
        <v>210445.914</v>
      </c>
    </row>
    <row r="61" ht="15.75" customHeight="1">
      <c r="A61" t="s">
        <f>S61</f>
        <v>97</v>
      </c>
      <c r="B61" s="4" t="s">
        <f>TRUNC(F61,0)</f>
        <v>174</v>
      </c>
      <c r="C61" s="4" t="s">
        <f>TRUNC((F61-B61)*60,0)</f>
        <v>321</v>
      </c>
      <c r="D61" s="4" t="s">
        <f>ROUND((F61-B61-C61/60)*3600,0)</f>
        <v>199</v>
      </c>
      <c r="E61" s="4" t="s">
        <f>E60+E$84</f>
        <v>209</v>
      </c>
      <c r="F61" s="4" t="s">
        <f>G61+H61/60+I61/3600-E61/3600</f>
        <v>144</v>
      </c>
      <c r="G61" s="4" t="s">
        <f>TRUNC(J61,0)</f>
        <v>174</v>
      </c>
      <c r="H61" s="4" t="s">
        <f>TRUNC((J61-G61)*60,0)</f>
        <v>205</v>
      </c>
      <c r="I61" s="4" t="s">
        <f>ROUND(((J61-G61)-H61/60)*3600,0)</f>
        <v>230</v>
      </c>
      <c r="J61" s="4" t="s">
        <f>IF(K61&lt;0,K61+360,K61)</f>
        <v>144</v>
      </c>
      <c r="K61" s="4" t="s">
        <f>ATAN2(N61,Q61)/PI()*180</f>
        <v>144</v>
      </c>
      <c r="L61" s="3" t="s">
        <f>ROUND((SQRT(N61^2+Q61^2)),5)</f>
        <v>322</v>
      </c>
      <c r="M61" s="3" t="s">
        <f>SQRT((T61-T60)^2+(U61-U60)^2)</f>
        <v>615</v>
      </c>
      <c r="N61" s="3" t="s">
        <f>T61-T60-P61</f>
        <v>616</v>
      </c>
      <c r="O61" s="3">
        <v>40.15983</v>
      </c>
      <c r="P61" s="3" t="s">
        <f>ROUND(($T$82*$O61/$O$80),3)</f>
        <v>427</v>
      </c>
      <c r="Q61" s="3" t="s">
        <f>U61-U60-R61</f>
        <v>617</v>
      </c>
      <c r="R61" s="3" t="s">
        <f>ROUND(($U$82*$O61/$O$80),3)</f>
        <v>434</v>
      </c>
      <c r="S61" t="s">
        <v>97</v>
      </c>
      <c r="T61" s="3">
        <v>46160.376</v>
      </c>
      <c r="U61" s="3">
        <v>210476.087</v>
      </c>
    </row>
    <row r="62" ht="15.75" customHeight="1">
      <c r="A62" t="s">
        <f>S62</f>
        <v>98</v>
      </c>
      <c r="B62" s="4" t="s">
        <f>TRUNC(F62,0)</f>
        <v>326</v>
      </c>
      <c r="C62" s="4" t="s">
        <f>TRUNC((F62-B62)*60,0)</f>
        <v>213</v>
      </c>
      <c r="D62" s="4" t="s">
        <f>ROUND((F62-B62-C62/60)*3600,0)</f>
        <v>241</v>
      </c>
      <c r="E62" s="4" t="s">
        <f>E61+E$84</f>
        <v>190</v>
      </c>
      <c r="F62" s="4" t="s">
        <f>G62+H62/60+I62/3600-E62/3600</f>
        <v>327</v>
      </c>
      <c r="G62" s="4" t="s">
        <f>TRUNC(J62,0)</f>
        <v>326</v>
      </c>
      <c r="H62" s="4" t="s">
        <f>TRUNC((J62-G62)*60,0)</f>
        <v>253</v>
      </c>
      <c r="I62" s="4" t="s">
        <f>ROUND(((J62-G62)-H62/60)*3600,0)</f>
        <v>214</v>
      </c>
      <c r="J62" s="4" t="s">
        <f>IF(K62&lt;0,K62+360,K62)</f>
        <v>327</v>
      </c>
      <c r="K62" s="4" t="s">
        <f>ATAN2(N62,Q62)/PI()*180</f>
        <v>327</v>
      </c>
      <c r="L62" s="3" t="s">
        <f>ROUND((SQRT(N62^2+Q62^2)),5)</f>
        <v>328</v>
      </c>
      <c r="M62" s="3" t="s">
        <f>SQRT((T62-T61)^2+(U62-U61)^2)</f>
        <v>328</v>
      </c>
      <c r="N62" s="3" t="s">
        <f>T62-T61-P62</f>
        <v>618</v>
      </c>
      <c r="O62" s="3">
        <v>8.94158</v>
      </c>
      <c r="P62" s="3" t="s">
        <f>ROUND(($T$82*$O62/$O$80),3)</f>
        <v>430</v>
      </c>
      <c r="Q62" s="3" t="s">
        <f>U62-U61-R62</f>
        <v>619</v>
      </c>
      <c r="R62" s="3" t="s">
        <f>ROUND(($U$82*$O62/$O$80),3)</f>
        <v>430</v>
      </c>
      <c r="S62" t="s">
        <v>98</v>
      </c>
      <c r="T62" s="3">
        <v>46152.216</v>
      </c>
      <c r="U62" s="3">
        <v>210479.744</v>
      </c>
    </row>
    <row r="63" ht="15.75" customHeight="1">
      <c r="A63" t="s">
        <f>S63</f>
        <v>99</v>
      </c>
      <c r="B63" s="4" t="s">
        <f>TRUNC(F63,0)</f>
        <v>333</v>
      </c>
      <c r="C63" s="4" t="s">
        <f>TRUNC((F63-B63)*60,0)</f>
        <v>233</v>
      </c>
      <c r="D63" s="4" t="s">
        <f>ROUND((F63-B63-C63/60)*3600,0)</f>
        <v>135</v>
      </c>
      <c r="E63" s="4" t="s">
        <f>E62+E$84</f>
        <v>179</v>
      </c>
      <c r="F63" s="4" t="s">
        <f>G63+H63/60+I63/3600-E63/3600</f>
        <v>333</v>
      </c>
      <c r="G63" s="4" t="s">
        <f>TRUNC(J63,0)</f>
        <v>333</v>
      </c>
      <c r="H63" s="4" t="s">
        <f>TRUNC((J63-G63)*60,0)</f>
        <v>134</v>
      </c>
      <c r="I63" s="4" t="s">
        <f>ROUND(((J63-G63)-H63/60)*3600,0)</f>
        <v>133</v>
      </c>
      <c r="J63" s="4" t="s">
        <f>IF(K63&lt;0,K63+360,K63)</f>
        <v>333</v>
      </c>
      <c r="K63" s="4" t="s">
        <f>ATAN2(N63,Q63)/PI()*180</f>
        <v>333</v>
      </c>
      <c r="L63" s="3" t="s">
        <f>ROUND((SQRT(N63^2+Q63^2)),5)</f>
        <v>334</v>
      </c>
      <c r="M63" s="3" t="s">
        <f>SQRT((T63-T62)^2+(U63-U62)^2)</f>
        <v>620</v>
      </c>
      <c r="N63" s="3" t="s">
        <f>T63-T62-P63</f>
        <v>621</v>
      </c>
      <c r="O63" s="3">
        <v>20.65621</v>
      </c>
      <c r="P63" s="3" t="s">
        <f>ROUND(($T$82*$O63/$O$80),3)</f>
        <v>427</v>
      </c>
      <c r="Q63" s="3" t="s">
        <f>U63-U62-R63</f>
        <v>622</v>
      </c>
      <c r="R63" s="3" t="s">
        <f>ROUND(($U$82*$O63/$O$80),3)</f>
        <v>427</v>
      </c>
      <c r="S63" t="s">
        <v>99</v>
      </c>
      <c r="T63" s="3">
        <v>46135.839</v>
      </c>
      <c r="U63" s="3">
        <v>210492.333</v>
      </c>
    </row>
    <row r="64" ht="15.75" customHeight="1">
      <c r="A64" t="s">
        <f>S64</f>
        <v>100</v>
      </c>
      <c r="B64" s="4" t="s">
        <f>TRUNC(F64,0)</f>
        <v>333</v>
      </c>
      <c r="C64" s="4" t="s">
        <f>TRUNC((F64-B64)*60,0)</f>
        <v>194</v>
      </c>
      <c r="D64" s="4" t="s">
        <f>ROUND((F64-B64-C64/60)*3600,0)</f>
        <v>186</v>
      </c>
      <c r="E64" s="4" t="s">
        <f>E63+E$84</f>
        <v>193</v>
      </c>
      <c r="F64" s="4" t="s">
        <f>G64+H64/60+I64/3600-E64/3600</f>
        <v>333</v>
      </c>
      <c r="G64" s="4" t="s">
        <f>TRUNC(J64,0)</f>
        <v>333</v>
      </c>
      <c r="H64" s="4" t="s">
        <f>TRUNC((J64-G64)*60,0)</f>
        <v>202</v>
      </c>
      <c r="I64" s="4" t="s">
        <f>ROUND(((J64-G64)-H64/60)*3600,0)</f>
        <v>172</v>
      </c>
      <c r="J64" s="4" t="s">
        <f>IF(K64&lt;0,K64+360,K64)</f>
        <v>333</v>
      </c>
      <c r="K64" s="4" t="s">
        <f>ATAN2(N64,Q64)/PI()*180</f>
        <v>333</v>
      </c>
      <c r="L64" s="3" t="s">
        <f>ROUND((SQRT(N64^2+Q64^2)),5)</f>
        <v>339</v>
      </c>
      <c r="M64" s="3" t="s">
        <f>SQRT((T64-T63)^2+(U64-U63)^2)</f>
        <v>339</v>
      </c>
      <c r="N64" s="3" t="s">
        <f>T64-T63-P64</f>
        <v>623</v>
      </c>
      <c r="O64" s="3">
        <v>44.16919</v>
      </c>
      <c r="P64" s="3" t="s">
        <f>ROUND(($T$82*$O64/$O$80),3)</f>
        <v>427</v>
      </c>
      <c r="Q64" s="3" t="s">
        <f>U64-U63-R64</f>
        <v>624</v>
      </c>
      <c r="R64" s="3" t="s">
        <f>ROUND(($U$82*$O64/$O$80),3)</f>
        <v>434</v>
      </c>
      <c r="S64" t="s">
        <v>100</v>
      </c>
      <c r="T64" s="3">
        <v>46100.916</v>
      </c>
      <c r="U64" s="3">
        <v>210519.376</v>
      </c>
    </row>
    <row r="65" ht="15.75" customHeight="1">
      <c r="A65" t="s">
        <f>S65</f>
        <v>101</v>
      </c>
      <c r="B65" s="4" t="s">
        <f>TRUNC(F65,0)</f>
        <v>333</v>
      </c>
      <c r="C65" s="4" t="s">
        <f>TRUNC((F65-B65)*60,0)</f>
        <v>174</v>
      </c>
      <c r="D65" s="4" t="s">
        <f>ROUND((F65-B65-C65/60)*3600,0)</f>
        <v>169</v>
      </c>
      <c r="E65" s="4" t="s">
        <f>E64+E$84</f>
        <v>320</v>
      </c>
      <c r="F65" s="4" t="s">
        <f>G65+H65/60+I65/3600-E65/3600</f>
        <v>341</v>
      </c>
      <c r="G65" s="4" t="s">
        <f>TRUNC(J65,0)</f>
        <v>333</v>
      </c>
      <c r="H65" s="4" t="s">
        <f>TRUNC((J65-G65)*60,0)</f>
        <v>144</v>
      </c>
      <c r="I65" s="4" t="s">
        <f>ROUND(((J65-G65)-H65/60)*3600,0)</f>
        <v>159</v>
      </c>
      <c r="J65" s="4" t="s">
        <f>IF(K65&lt;0,K65+360,K65)</f>
        <v>341</v>
      </c>
      <c r="K65" s="4" t="s">
        <f>ATAN2(N65,Q65)/PI()*180</f>
        <v>341</v>
      </c>
      <c r="L65" s="3" t="s">
        <f>ROUND((SQRT(N65^2+Q65^2)),5)</f>
        <v>342</v>
      </c>
      <c r="M65" s="3" t="s">
        <f>SQRT((T65-T64)^2+(U65-U64)^2)</f>
        <v>342</v>
      </c>
      <c r="N65" s="3" t="s">
        <f>T65-T64-P65</f>
        <v>625</v>
      </c>
      <c r="O65" s="3">
        <v>29.58623</v>
      </c>
      <c r="P65" s="3" t="s">
        <f>ROUND(($T$82*$O65/$O$80),3)</f>
        <v>427</v>
      </c>
      <c r="Q65" s="3" t="s">
        <f>U65-U64-R65</f>
        <v>626</v>
      </c>
      <c r="R65" s="3" t="s">
        <f>ROUND(($U$82*$O65/$O$80),3)</f>
        <v>427</v>
      </c>
      <c r="S65" t="s">
        <v>101</v>
      </c>
      <c r="T65" s="3">
        <v>46077.344</v>
      </c>
      <c r="U65" s="3">
        <v>210537.256</v>
      </c>
    </row>
    <row r="66" ht="15.75" customHeight="1">
      <c r="A66" t="s">
        <f>S66</f>
        <v>102</v>
      </c>
      <c r="B66" s="4" t="s">
        <f>TRUNC(F66,0)</f>
        <v>201</v>
      </c>
      <c r="C66" s="4" t="s">
        <f>TRUNC((F66-B66)*60,0)</f>
        <v>346</v>
      </c>
      <c r="D66" s="4" t="s">
        <f>ROUND((F66-B66-C66/60)*3600,0)</f>
        <v>208</v>
      </c>
      <c r="E66" s="4" t="s">
        <f>E65+E$84</f>
        <v>627</v>
      </c>
      <c r="F66" s="4" t="s">
        <f>G66+H66/60+I66/3600-E66/3600</f>
        <v>142</v>
      </c>
      <c r="G66" s="4" t="s">
        <f>TRUNC(J66,0)</f>
        <v>201</v>
      </c>
      <c r="H66" s="4" t="s">
        <f>TRUNC((J66-G66)*60,0)</f>
        <v>212</v>
      </c>
      <c r="I66" s="4" t="s">
        <f>ROUND(((J66-G66)-H66/60)*3600,0)</f>
        <v>186</v>
      </c>
      <c r="J66" s="4" t="s">
        <f>IF(K66&lt;0,K66+360,K66)</f>
        <v>142</v>
      </c>
      <c r="K66" s="4" t="s">
        <f>ATAN2(N66,Q66)/PI()*180</f>
        <v>142</v>
      </c>
      <c r="L66" s="3" t="s">
        <f>ROUND((SQRT(N66^2+Q66^2)),5)</f>
        <v>347</v>
      </c>
      <c r="M66" s="3" t="s">
        <f>SQRT((T66-T65)^2+(U66-U65)^2)</f>
        <v>347</v>
      </c>
      <c r="N66" s="3" t="s">
        <f>T66-T65-P66</f>
        <v>628</v>
      </c>
      <c r="O66" s="3">
        <v>5.53625</v>
      </c>
      <c r="P66" s="3" t="s">
        <f>ROUND(($T$82*$O66/$O$80),3)</f>
        <v>430</v>
      </c>
      <c r="Q66" s="3" t="s">
        <f>U66-U65-R66</f>
        <v>629</v>
      </c>
      <c r="R66" s="3" t="s">
        <f>ROUND(($U$82*$O66/$O$80),3)</f>
        <v>430</v>
      </c>
      <c r="S66" t="s">
        <v>102</v>
      </c>
      <c r="T66" s="3">
        <v>46080.71</v>
      </c>
      <c r="U66" s="3">
        <v>210541.656</v>
      </c>
    </row>
    <row r="67" ht="15.75" customHeight="1">
      <c r="A67" t="s">
        <f>S67</f>
        <v>103</v>
      </c>
      <c r="B67" s="4" t="s">
        <f>TRUNC(F67,0)</f>
        <v>177</v>
      </c>
      <c r="C67" s="4" t="s">
        <f>TRUNC((F67-B67)*60,0)</f>
        <v>186</v>
      </c>
      <c r="D67" s="4" t="s">
        <f>ROUND((F67-B67-C67/60)*3600,0)</f>
        <v>250</v>
      </c>
      <c r="E67" s="4" t="s">
        <f>E66+E$84</f>
        <v>630</v>
      </c>
      <c r="F67" s="4" t="s">
        <f>G67+H67/60+I67/3600-E67/3600</f>
        <v>177</v>
      </c>
      <c r="G67" s="4" t="s">
        <f>TRUNC(J67,0)</f>
        <v>177</v>
      </c>
      <c r="H67" s="4" t="s">
        <f>TRUNC((J67-G67)*60,0)</f>
        <v>181</v>
      </c>
      <c r="I67" s="4" t="s">
        <f>ROUND(((J67-G67)-H67/60)*3600,0)</f>
        <v>153</v>
      </c>
      <c r="J67" s="4" t="s">
        <f>IF(K67&lt;0,K67+360,K67)</f>
        <v>177</v>
      </c>
      <c r="K67" s="4" t="s">
        <f>ATAN2(N67,Q67)/PI()*180</f>
        <v>177</v>
      </c>
      <c r="L67" s="3" t="s">
        <f>ROUND((SQRT(N67^2+Q67^2)),5)</f>
        <v>349</v>
      </c>
      <c r="M67" s="3" t="s">
        <f>SQRT((T67-T66)^2+(U67-U66)^2)</f>
        <v>349</v>
      </c>
      <c r="N67" s="3" t="s">
        <f>T67-T66-P67</f>
        <v>631</v>
      </c>
      <c r="O67" s="3">
        <v>32.92941</v>
      </c>
      <c r="P67" s="3" t="s">
        <f>ROUND(($T$82*$O67/$O$80),3)</f>
        <v>427</v>
      </c>
      <c r="Q67" s="3" t="s">
        <f>U67-U66-R67</f>
        <v>632</v>
      </c>
      <c r="R67" s="3" t="s">
        <f>ROUND(($U$82*$O67/$O$80),3)</f>
        <v>427</v>
      </c>
      <c r="S67" t="s">
        <v>103</v>
      </c>
      <c r="T67" s="3">
        <v>46057.81</v>
      </c>
      <c r="U67" s="3">
        <v>210565.32</v>
      </c>
    </row>
    <row r="68" ht="15.75" customHeight="1">
      <c r="A68" t="s">
        <f>S68</f>
        <v>104</v>
      </c>
      <c r="B68" s="4" t="s">
        <f>TRUNC(F68,0)</f>
        <v>353</v>
      </c>
      <c r="C68" s="4" t="s">
        <f>TRUNC((F68-B68)*60,0)</f>
        <v>133</v>
      </c>
      <c r="D68" s="4" t="s">
        <f>ROUND((F68-B68-C68/60)*3600,0)</f>
        <v>133</v>
      </c>
      <c r="E68" s="4" t="s">
        <f>E67+E$84</f>
        <v>294</v>
      </c>
      <c r="F68" s="4" t="s">
        <f>G68+H68/60+I68/3600-E68/3600</f>
        <v>353</v>
      </c>
      <c r="G68" s="4" t="s">
        <f>TRUNC(J68,0)</f>
        <v>353</v>
      </c>
      <c r="H68" s="4" t="s">
        <f>TRUNC((J68-G68)*60,0)</f>
        <v>159</v>
      </c>
      <c r="I68" s="4" t="s">
        <f>ROUND(((J68-G68)-H68/60)*3600,0)</f>
        <v>135</v>
      </c>
      <c r="J68" s="4" t="s">
        <f>IF(K68&lt;0,K68+360,K68)</f>
        <v>353</v>
      </c>
      <c r="K68" s="4" t="s">
        <f>ATAN2(N68,Q68)/PI()*180</f>
        <v>353</v>
      </c>
      <c r="L68" s="3" t="s">
        <f>ROUND((SQRT(N68^2+Q68^2)),5)</f>
        <v>633</v>
      </c>
      <c r="M68" s="3" t="s">
        <f>SQRT((T68-T67)^2+(U68-U67)^2)</f>
        <v>633</v>
      </c>
      <c r="N68" s="3" t="s">
        <f>T68-T67-P68</f>
        <v>634</v>
      </c>
      <c r="O68" s="3">
        <v>15.57377</v>
      </c>
      <c r="P68" s="3" t="s">
        <f>ROUND(($T$82*$O68/$O$80),3)</f>
        <v>430</v>
      </c>
      <c r="Q68" s="3" t="s">
        <f>U68-U67-R68</f>
        <v>635</v>
      </c>
      <c r="R68" s="3" t="s">
        <f>ROUND(($U$82*$O68/$O$80),3)</f>
        <v>427</v>
      </c>
      <c r="S68" t="s">
        <v>104</v>
      </c>
      <c r="T68" s="3">
        <v>46042.246999999996</v>
      </c>
      <c r="U68" s="3">
        <v>210565.786</v>
      </c>
    </row>
    <row r="69" ht="15.75" customHeight="1">
      <c r="A69" t="s">
        <f>S69</f>
        <v>105</v>
      </c>
      <c r="B69" s="4" t="s">
        <f>TRUNC(F69,0)</f>
        <v>356</v>
      </c>
      <c r="C69" s="4" t="s">
        <f>TRUNC((F69-B69)*60,0)</f>
        <v>226</v>
      </c>
      <c r="D69" s="4" t="s">
        <f>ROUND((F69-B69-C69/60)*3600,0)</f>
        <v>193</v>
      </c>
      <c r="E69" s="4" t="s">
        <f>E68+E$84</f>
        <v>636</v>
      </c>
      <c r="F69" s="4" t="s">
        <f>G69+H69/60+I69/3600-E69/3600</f>
        <v>356</v>
      </c>
      <c r="G69" s="4" t="s">
        <f>TRUNC(J69,0)</f>
        <v>356</v>
      </c>
      <c r="H69" s="4" t="s">
        <f>TRUNC((J69-G69)*60,0)</f>
        <v>439</v>
      </c>
      <c r="I69" s="4" t="s">
        <f>ROUND(((J69-G69)-H69/60)*3600,0)</f>
        <v>186</v>
      </c>
      <c r="J69" s="4" t="s">
        <f>IF(K69&lt;0,K69+360,K69)</f>
        <v>356</v>
      </c>
      <c r="K69" s="4" t="s">
        <f>ATAN2(N69,Q69)/PI()*180</f>
        <v>359</v>
      </c>
      <c r="L69" s="3" t="s">
        <f>ROUND((SQRT(N69^2+Q69^2)),5)</f>
        <v>357</v>
      </c>
      <c r="M69" s="3" t="s">
        <f>SQRT((T69-T68)^2+(U69-U68)^2)</f>
        <v>637</v>
      </c>
      <c r="N69" s="3" t="s">
        <f>T69-T68-P69</f>
        <v>638</v>
      </c>
      <c r="O69" s="3">
        <v>66.76016</v>
      </c>
      <c r="P69" s="3" t="s">
        <f>ROUND(($T$82*$O69/$O$80),3)</f>
        <v>434</v>
      </c>
      <c r="Q69" s="3" t="s">
        <f>U69-U68-R69</f>
        <v>639</v>
      </c>
      <c r="R69" s="3" t="s">
        <f>ROUND(($U$82*$O69/$O$80),3)</f>
        <v>470</v>
      </c>
      <c r="S69" t="s">
        <v>105</v>
      </c>
      <c r="T69" s="3">
        <v>45986.987</v>
      </c>
      <c r="U69" s="3">
        <v>210528.326</v>
      </c>
    </row>
    <row r="70" ht="15.75" customHeight="1">
      <c r="A70" t="s">
        <f>S70</f>
        <v>106</v>
      </c>
      <c r="B70" s="4" t="s">
        <f>TRUNC(F70,0)</f>
        <v>360</v>
      </c>
      <c r="C70" s="4" t="s">
        <f>TRUNC((F70-B70)*60,0)</f>
        <v>172</v>
      </c>
      <c r="D70" s="4" t="s">
        <f>ROUND((F70-B70-C70/60)*3600,0)</f>
        <v>320</v>
      </c>
      <c r="E70" s="4" t="s">
        <f>E69+E$84</f>
        <v>277</v>
      </c>
      <c r="F70" s="4" t="s">
        <f>G70+H70/60+I70/3600-E70/3600</f>
        <v>360</v>
      </c>
      <c r="G70" s="4" t="s">
        <f>TRUNC(J70,0)</f>
        <v>360</v>
      </c>
      <c r="H70" s="4" t="s">
        <f>TRUNC((J70-G70)*60,0)</f>
        <v>186</v>
      </c>
      <c r="I70" s="4" t="s">
        <f>ROUND(((J70-G70)-H70/60)*3600,0)</f>
        <v>312</v>
      </c>
      <c r="J70" s="4" t="s">
        <f>IF(K70&lt;0,K70+360,K70)</f>
        <v>360</v>
      </c>
      <c r="K70" s="4" t="s">
        <f>ATAN2(N70,Q70)/PI()*180</f>
        <v>360</v>
      </c>
      <c r="L70" s="3" t="s">
        <f>ROUND((SQRT(N70^2+Q70^2)),5)</f>
        <v>361</v>
      </c>
      <c r="M70" s="3" t="s">
        <f>SQRT((T70-T69)^2+(U70-U69)^2)</f>
        <v>640</v>
      </c>
      <c r="N70" s="3" t="s">
        <f>T70-T69-P70</f>
        <v>641</v>
      </c>
      <c r="O70" s="3">
        <v>34.56355</v>
      </c>
      <c r="P70" s="3" t="s">
        <f>ROUND(($T$82*$O70/$O$80),3)</f>
        <v>427</v>
      </c>
      <c r="Q70" s="3" t="s">
        <f>U70-U69-R70</f>
        <v>642</v>
      </c>
      <c r="R70" s="3" t="s">
        <f>ROUND(($U$82*$O70/$O$80),3)</f>
        <v>434</v>
      </c>
      <c r="S70" t="s">
        <v>106</v>
      </c>
      <c r="T70" s="3">
        <v>45966.17</v>
      </c>
      <c r="U70" s="3">
        <v>210555.92</v>
      </c>
    </row>
    <row r="71" ht="15.75" customHeight="1">
      <c r="A71" t="s">
        <f>S71</f>
        <v>107</v>
      </c>
      <c r="B71" s="4" t="s">
        <f>TRUNC(F71,0)</f>
        <v>365</v>
      </c>
      <c r="C71" s="4" t="s">
        <f>TRUNC((F71-B71)*60,0)</f>
        <v>250</v>
      </c>
      <c r="D71" s="4" t="s">
        <f>ROUND((F71-B71-C71/60)*3600,0)</f>
        <v>235</v>
      </c>
      <c r="E71" s="4" t="s">
        <f>E70+E$84</f>
        <v>278</v>
      </c>
      <c r="F71" s="4" t="s">
        <f>G71+H71/60+I71/3600-E71/3600</f>
        <v>366</v>
      </c>
      <c r="G71" s="4" t="s">
        <f>TRUNC(J71,0)</f>
        <v>365</v>
      </c>
      <c r="H71" s="4" t="s">
        <f>TRUNC((J71-G71)*60,0)</f>
        <v>143</v>
      </c>
      <c r="I71" s="4" t="s">
        <f>ROUND(((J71-G71)-H71/60)*3600,0)</f>
        <v>212</v>
      </c>
      <c r="J71" s="4" t="s">
        <f>IF(K71&lt;0,K71+360,K71)</f>
        <v>366</v>
      </c>
      <c r="K71" s="4" t="s">
        <f>ATAN2(N71,Q71)/PI()*180</f>
        <v>366</v>
      </c>
      <c r="L71" s="3" t="s">
        <f>ROUND((SQRT(N71^2+Q71^2)),5)</f>
        <v>367</v>
      </c>
      <c r="M71" s="3" t="s">
        <f>SQRT((T71-T70)^2+(U71-U70)^2)</f>
        <v>643</v>
      </c>
      <c r="N71" s="3" t="s">
        <f>T71-T70-P71</f>
        <v>644</v>
      </c>
      <c r="O71" s="3">
        <v>27.60339</v>
      </c>
      <c r="P71" s="3" t="s">
        <f>ROUND(($T$82*$O71/$O$80),3)</f>
        <v>427</v>
      </c>
      <c r="Q71" s="3" t="s">
        <f>U71-U70-R71</f>
        <v>645</v>
      </c>
      <c r="R71" s="3" t="s">
        <f>ROUND(($U$82*$O71/$O$80),3)</f>
        <v>427</v>
      </c>
      <c r="S71" t="s">
        <v>107</v>
      </c>
      <c r="T71" s="3">
        <v>45953.320999999996</v>
      </c>
      <c r="U71" s="3">
        <v>210580.352</v>
      </c>
    </row>
    <row r="72" ht="15.75" customHeight="1">
      <c r="A72" t="s">
        <f>S72</f>
        <v>108</v>
      </c>
      <c r="B72" s="4" t="s">
        <f>TRUNC(F72,0)</f>
        <v>286</v>
      </c>
      <c r="C72" s="4" t="s">
        <f>TRUNC((F72-B72)*60,0)</f>
        <v>251</v>
      </c>
      <c r="D72" s="4" t="s">
        <f>ROUND((F72-B72-C72/60)*3600,0)</f>
        <v>209</v>
      </c>
      <c r="E72" s="4" t="s">
        <f>E71+E$84</f>
        <v>287</v>
      </c>
      <c r="F72" s="4" t="s">
        <f>G72+H72/60+I72/3600-E72/3600</f>
        <v>174</v>
      </c>
      <c r="G72" s="4" t="s">
        <f>TRUNC(J72,0)</f>
        <v>286</v>
      </c>
      <c r="H72" s="4" t="s">
        <f>TRUNC((J72-G72)*60,0)</f>
        <v>198</v>
      </c>
      <c r="I72" s="4" t="s">
        <f>ROUND(((J72-G72)-H72/60)*3600,0)</f>
        <v>186</v>
      </c>
      <c r="J72" s="4" t="s">
        <f>IF(K72&lt;0,K72+360,K72)</f>
        <v>174</v>
      </c>
      <c r="K72" s="4" t="s">
        <f>ATAN2(N72,Q72)/PI()*180</f>
        <v>174</v>
      </c>
      <c r="L72" s="3" t="s">
        <f>ROUND((SQRT(N72^2+Q72^2)),5)</f>
        <v>372</v>
      </c>
      <c r="M72" s="3" t="s">
        <f>SQRT((T72-T71)^2+(U72-U71)^2)</f>
        <v>646</v>
      </c>
      <c r="N72" s="3" t="s">
        <f>T72-T71-P72</f>
        <v>647</v>
      </c>
      <c r="O72" s="3">
        <v>80.12217</v>
      </c>
      <c r="P72" s="3" t="s">
        <f>ROUND(($T$82*$O72/$O$80),3)</f>
        <v>434</v>
      </c>
      <c r="Q72" s="3" t="s">
        <f>U72-U71-R72</f>
        <v>648</v>
      </c>
      <c r="R72" s="3" t="s">
        <f>ROUND(($U$82*$O72/$O$80),3)</f>
        <v>649</v>
      </c>
      <c r="S72" t="s">
        <v>108</v>
      </c>
      <c r="T72" s="3">
        <v>46007.415</v>
      </c>
      <c r="U72" s="3">
        <v>210639.457</v>
      </c>
    </row>
    <row r="73" ht="15.75" customHeight="1">
      <c r="A73" t="s">
        <f>S73</f>
        <v>109</v>
      </c>
      <c r="B73" s="4" t="s">
        <f>TRUNC(F73,0)</f>
        <v>144</v>
      </c>
      <c r="C73" s="4" t="s">
        <f>TRUNC((F73-B73)*60,0)</f>
        <v>194</v>
      </c>
      <c r="D73" s="4" t="s">
        <f>ROUND((F73-B73-C73/60)*3600,0)</f>
        <v>174</v>
      </c>
      <c r="E73" s="4" t="s">
        <f>E72+E$84</f>
        <v>288</v>
      </c>
      <c r="F73" s="4" t="s">
        <f>G73+H73/60+I73/3600-E73/3600</f>
        <v>144</v>
      </c>
      <c r="G73" s="4" t="s">
        <f>TRUNC(J73,0)</f>
        <v>144</v>
      </c>
      <c r="H73" s="4" t="s">
        <f>TRUNC((J73-G73)*60,0)</f>
        <v>202</v>
      </c>
      <c r="I73" s="4" t="s">
        <f>ROUND(((J73-G73)-H73/60)*3600,0)</f>
        <v>190</v>
      </c>
      <c r="J73" s="4" t="s">
        <f>IF(K73&lt;0,K73+360,K73)</f>
        <v>144</v>
      </c>
      <c r="K73" s="4" t="s">
        <f>ATAN2(N73,Q73)/PI()*180</f>
        <v>144</v>
      </c>
      <c r="L73" s="3" t="s">
        <f>ROUND((SQRT(N73^2+Q73^2)),5)</f>
        <v>376</v>
      </c>
      <c r="M73" s="3" t="s">
        <f>SQRT((T73-T72)^2+(U73-U72)^2)</f>
        <v>650</v>
      </c>
      <c r="N73" s="3" t="s">
        <f>T73-T72-P73</f>
        <v>651</v>
      </c>
      <c r="O73" s="3">
        <v>118.7141</v>
      </c>
      <c r="P73" s="3" t="s">
        <f>ROUND(($T$82*$O73/$O$80),3)</f>
        <v>470</v>
      </c>
      <c r="Q73" s="3" t="s">
        <f>U73-U72-R73</f>
        <v>652</v>
      </c>
      <c r="R73" s="3" t="s">
        <f>ROUND(($U$82*$O73/$O$80),3)</f>
        <v>653</v>
      </c>
      <c r="S73" t="s">
        <v>109</v>
      </c>
      <c r="T73" s="3">
        <v>46084.884</v>
      </c>
      <c r="U73" s="3">
        <v>210729.415</v>
      </c>
    </row>
    <row r="74" ht="15.75" customHeight="1">
      <c r="A74" t="s">
        <f>S74</f>
        <v>110</v>
      </c>
      <c r="B74" s="4" t="s">
        <f>TRUNC(F74,0)</f>
        <v>201</v>
      </c>
      <c r="C74" s="4" t="s">
        <f>TRUNC((F74-B74)*60,0)</f>
        <v>172</v>
      </c>
      <c r="D74" s="4" t="s">
        <f>ROUND((F74-B74-C74/60)*3600,0)</f>
        <v>153</v>
      </c>
      <c r="E74" s="4" t="s">
        <f>E73+E$84</f>
        <v>654</v>
      </c>
      <c r="F74" s="4" t="s">
        <f>G74+H74/60+I74/3600-E74/3600</f>
        <v>201</v>
      </c>
      <c r="G74" s="4" t="s">
        <f>TRUNC(J74,0)</f>
        <v>201</v>
      </c>
      <c r="H74" s="4" t="s">
        <f>TRUNC((J74-G74)*60,0)</f>
        <v>208</v>
      </c>
      <c r="I74" s="4" t="s">
        <f>ROUND(((J74-G74)-H74/60)*3600,0)</f>
        <v>171</v>
      </c>
      <c r="J74" s="4" t="s">
        <f>IF(K74&lt;0,K74+360,K74)</f>
        <v>201</v>
      </c>
      <c r="K74" s="4" t="s">
        <f>ATAN2(N74,Q74)/PI()*180</f>
        <v>201</v>
      </c>
      <c r="L74" s="3" t="s">
        <f>ROUND((SQRT(N74^2+Q74^2)),5)</f>
        <v>378</v>
      </c>
      <c r="M74" s="3" t="s">
        <f>SQRT((T74-T73)^2+(U74-U73)^2)</f>
        <v>655</v>
      </c>
      <c r="N74" s="3" t="s">
        <f>T74-T73-P74</f>
        <v>656</v>
      </c>
      <c r="O74" s="3">
        <v>62.33224</v>
      </c>
      <c r="P74" s="3" t="s">
        <f>ROUND(($T$82*$O74/$O$80),3)</f>
        <v>434</v>
      </c>
      <c r="Q74" s="3" t="s">
        <f>U74-U73-R74</f>
        <v>657</v>
      </c>
      <c r="R74" s="3" t="s">
        <f>ROUND(($U$82*$O74/$O$80),3)</f>
        <v>470</v>
      </c>
      <c r="S74" t="s">
        <v>110</v>
      </c>
      <c r="T74" s="3">
        <v>46123.233</v>
      </c>
      <c r="U74" s="3">
        <v>210778.556</v>
      </c>
    </row>
    <row r="75" ht="15.75" customHeight="1">
      <c r="A75" t="s">
        <f>S75</f>
        <v>111</v>
      </c>
      <c r="B75" s="4" t="s">
        <f>TRUNC(F75,0)</f>
        <v>179</v>
      </c>
      <c r="C75" s="4" t="s">
        <f>TRUNC((F75-B75)*60,0)</f>
        <v>223</v>
      </c>
      <c r="D75" s="4" t="s">
        <f>ROUND((F75-B75-C75/60)*3600,0)</f>
        <v>238</v>
      </c>
      <c r="E75" s="4" t="s">
        <f>E74+E$84</f>
        <v>658</v>
      </c>
      <c r="F75" s="4" t="s">
        <f>G75+H75/60+I75/3600-E75/3600</f>
        <v>179</v>
      </c>
      <c r="G75" s="4" t="s">
        <f>TRUNC(J75,0)</f>
        <v>179</v>
      </c>
      <c r="H75" s="4" t="s">
        <f>TRUNC((J75-G75)*60,0)</f>
        <v>199</v>
      </c>
      <c r="I75" s="4" t="s">
        <f>ROUND(((J75-G75)-H75/60)*3600,0)</f>
        <v>185</v>
      </c>
      <c r="J75" s="4" t="s">
        <f>IF(K75&lt;0,K75+360,K75)</f>
        <v>179</v>
      </c>
      <c r="K75" s="4" t="s">
        <f>ATAN2(N75,Q75)/PI()*180</f>
        <v>179</v>
      </c>
      <c r="L75" s="3" t="s">
        <f>ROUND((SQRT(N75^2+Q75^2)),5)</f>
        <v>382</v>
      </c>
      <c r="M75" s="3" t="s">
        <f>SQRT((T75-T74)^2+(U75-U74)^2)</f>
        <v>659</v>
      </c>
      <c r="N75" s="3" t="s">
        <f>T75-T74-P75</f>
        <v>660</v>
      </c>
      <c r="O75" s="3">
        <v>40.39161</v>
      </c>
      <c r="P75" s="3" t="s">
        <f>ROUND(($T$82*$O75/$O$80),3)</f>
        <v>427</v>
      </c>
      <c r="Q75" s="3" t="s">
        <f>U75-U74-R75</f>
        <v>661</v>
      </c>
      <c r="R75" s="3" t="s">
        <f>ROUND(($U$82*$O75/$O$80),3)</f>
        <v>434</v>
      </c>
      <c r="S75" t="s">
        <v>111</v>
      </c>
      <c r="T75" s="3">
        <v>46145.106999999996</v>
      </c>
      <c r="U75" s="3">
        <v>210812.512</v>
      </c>
    </row>
    <row r="76" ht="15.75" customHeight="1">
      <c r="A76" t="s">
        <f>S76</f>
        <v>112</v>
      </c>
      <c r="B76" s="4" t="s">
        <f>TRUNC(F76,0)</f>
        <v>384</v>
      </c>
      <c r="C76" s="4" t="s">
        <f>TRUNC((F76-B76)*60,0)</f>
        <v>260</v>
      </c>
      <c r="D76" s="4" t="s">
        <f>ROUND((F76-B76-C76/60)*3600,0)</f>
        <v>238</v>
      </c>
      <c r="E76" s="4" t="s">
        <f>E75+E$84</f>
        <v>517</v>
      </c>
      <c r="F76" s="4" t="s">
        <f>G76+H76/60+I76/3600-E76/3600</f>
        <v>384</v>
      </c>
      <c r="G76" s="4" t="s">
        <f>TRUNC(J76,0)</f>
        <v>384</v>
      </c>
      <c r="H76" s="4" t="s">
        <f>TRUNC((J76-G76)*60,0)</f>
        <v>267</v>
      </c>
      <c r="I76" s="4" t="s">
        <f>ROUND(((J76-G76)-H76/60)*3600,0)</f>
        <v>241</v>
      </c>
      <c r="J76" s="4" t="s">
        <f>IF(K76&lt;0,K76+360,K76)</f>
        <v>384</v>
      </c>
      <c r="K76" s="4" t="s">
        <f>ATAN2(N76,Q76)/PI()*180</f>
        <v>384</v>
      </c>
      <c r="L76" s="3" t="s">
        <f>ROUND((SQRT(N76^2+Q76^2)),5)</f>
        <v>385</v>
      </c>
      <c r="M76" s="3" t="s">
        <f>SQRT((T76-T75)^2+(U76-U75)^2)</f>
        <v>385</v>
      </c>
      <c r="N76" s="3" t="s">
        <f>T76-T75-P76</f>
        <v>662</v>
      </c>
      <c r="O76" s="3">
        <v>113.23923</v>
      </c>
      <c r="P76" s="3" t="s">
        <f>ROUND(($T$82*$O76/$O$80),3)</f>
        <v>470</v>
      </c>
      <c r="Q76" s="3" t="s">
        <f>U76-U75-R76</f>
        <v>663</v>
      </c>
      <c r="R76" s="3" t="s">
        <f>ROUND(($U$82*$O76/$O$80),3)</f>
        <v>653</v>
      </c>
      <c r="S76" t="s">
        <v>112</v>
      </c>
      <c r="T76" s="3">
        <v>46044.746999999996</v>
      </c>
      <c r="U76" s="3">
        <v>210864.961</v>
      </c>
    </row>
    <row r="77" ht="15.75" customHeight="1">
      <c r="A77" t="s">
        <f>S77</f>
        <v>113</v>
      </c>
      <c r="B77" s="4" t="s">
        <f>TRUNC(F77,0)</f>
        <v>389</v>
      </c>
      <c r="C77" s="4" t="s">
        <f>TRUNC((F77-B77)*60,0)</f>
        <v>198</v>
      </c>
      <c r="D77" s="4" t="s">
        <f>ROUND((F77-B77-C77/60)*3600,0)</f>
        <v>312</v>
      </c>
      <c r="E77" s="4" t="s">
        <f>E76+E$84</f>
        <v>518</v>
      </c>
      <c r="F77" s="4" t="s">
        <f>G77+H77/60+I77/3600-E77/3600</f>
        <v>384</v>
      </c>
      <c r="G77" s="4" t="s">
        <f>TRUNC(J77,0)</f>
        <v>389</v>
      </c>
      <c r="H77" s="4" t="s">
        <f>TRUNC((J77-G77)*60,0)</f>
        <v>200</v>
      </c>
      <c r="I77" s="4" t="s">
        <f>ROUND(((J77-G77)-H77/60)*3600,0)</f>
        <v>159</v>
      </c>
      <c r="J77" s="4" t="s">
        <f>IF(K77&lt;0,K77+360,K77)</f>
        <v>384</v>
      </c>
      <c r="K77" s="4" t="s">
        <f>ATAN2(N77,Q77)/PI()*180</f>
        <v>384</v>
      </c>
      <c r="L77" s="3" t="s">
        <f>ROUND((SQRT(N77^2+Q77^2)),5)</f>
        <v>390</v>
      </c>
      <c r="M77" s="3" t="s">
        <f>SQRT((T77-T76)^2+(U77-U76)^2)</f>
        <v>664</v>
      </c>
      <c r="N77" s="3" t="s">
        <f>T77-T76-P77</f>
        <v>665</v>
      </c>
      <c r="O77" s="3">
        <v>55.59624</v>
      </c>
      <c r="P77" s="3" t="s">
        <f>ROUND(($T$82*$O77/$O$80),3)</f>
        <v>434</v>
      </c>
      <c r="Q77" s="3" t="s">
        <f>U77-U76-R77</f>
        <v>666</v>
      </c>
      <c r="R77" s="3" t="s">
        <f>ROUND(($U$82*$O77/$O$80),3)</f>
        <v>434</v>
      </c>
      <c r="S77" t="s">
        <v>113</v>
      </c>
      <c r="T77" s="3">
        <v>45995.864</v>
      </c>
      <c r="U77" s="3">
        <v>210891.445</v>
      </c>
    </row>
    <row r="78" ht="15.75" customHeight="1">
      <c r="A78" t="s">
        <f>S78</f>
        <v>114</v>
      </c>
      <c r="B78" s="4" t="s">
        <f>TRUNC(F78,0)</f>
        <v>393</v>
      </c>
      <c r="C78" s="4" t="s">
        <f>TRUNC((F78-B78)*60,0)</f>
        <v>194</v>
      </c>
      <c r="D78" s="4" t="s">
        <f>ROUND((F78-B78-C78/60)*3600,0)</f>
        <v>186</v>
      </c>
      <c r="E78" s="4" t="s">
        <f>E77+E$84</f>
        <v>667</v>
      </c>
      <c r="F78" s="4" t="s">
        <f>G78+H78/60+I78/3600-E78/3600</f>
        <v>393</v>
      </c>
      <c r="G78" s="4" t="s">
        <f>TRUNC(J78,0)</f>
        <v>393</v>
      </c>
      <c r="H78" s="4" t="s">
        <f>TRUNC((J78-G78)*60,0)</f>
        <v>202</v>
      </c>
      <c r="I78" s="4" t="s">
        <f>ROUND(((J78-G78)-H78/60)*3600,0)</f>
        <v>133</v>
      </c>
      <c r="J78" s="4" t="s">
        <f>IF(K78&lt;0,K78+360,K78)</f>
        <v>393</v>
      </c>
      <c r="K78" s="4" t="s">
        <f>ATAN2(N78,Q78)/PI()*180</f>
        <v>393</v>
      </c>
      <c r="L78" s="3" t="s">
        <f>ROUND((SQRT(N78^2+Q78^2)),5)</f>
        <v>395</v>
      </c>
      <c r="M78" s="3" t="s">
        <f>SQRT((T78-T77)^2+(U78-U77)^2)</f>
        <v>668</v>
      </c>
      <c r="N78" s="3" t="s">
        <f>T78-T77-P78</f>
        <v>669</v>
      </c>
      <c r="O78" s="3">
        <v>56.8254</v>
      </c>
      <c r="P78" s="3" t="s">
        <f>ROUND(($T$82*$O78/$O$80),3)</f>
        <v>434</v>
      </c>
      <c r="Q78" s="3" t="s">
        <f>U78-U77-R78</f>
        <v>670</v>
      </c>
      <c r="R78" s="3" t="s">
        <f>ROUND(($U$82*$O78/$O$80),3)</f>
        <v>434</v>
      </c>
      <c r="S78" t="s">
        <v>114</v>
      </c>
      <c r="T78" s="3">
        <v>45946.528</v>
      </c>
      <c r="U78" s="3">
        <v>210919.641</v>
      </c>
    </row>
    <row r="79" ht="15.75" customHeight="1">
      <c r="A79" t="s">
        <f>DTM!A7</f>
        <v>120</v>
      </c>
      <c r="B79" s="4" t="s">
        <f>TRUNC(F79,0)</f>
        <v>188</v>
      </c>
      <c r="C79" s="4" t="s">
        <f>TRUNC((F79-B79)*60,0)</f>
        <v>312</v>
      </c>
      <c r="D79" s="4" t="s">
        <f>ROUND((F79-B79-C79/60)*3600,0)</f>
        <v>200</v>
      </c>
      <c r="E79" s="4" t="s">
        <f>E78+E$84</f>
        <v>671</v>
      </c>
      <c r="F79" s="4" t="s">
        <f>G79+H79/60+I79/3600-E79/3600</f>
        <v>188</v>
      </c>
      <c r="G79" s="4" t="s">
        <f>TRUNC(J79,0)</f>
        <v>188</v>
      </c>
      <c r="H79" s="4" t="s">
        <f>TRUNC((J79-G79)*60,0)</f>
        <v>465</v>
      </c>
      <c r="I79" s="4" t="s">
        <f>ROUND(((J79-G79)-H79/60)*3600,0)</f>
        <v>174</v>
      </c>
      <c r="J79" s="4" t="s">
        <f>IF(K79&lt;0,K79+360,K79)</f>
        <v>188</v>
      </c>
      <c r="K79" s="4" t="s">
        <f>ATAN2(N79,Q79)/PI()*180</f>
        <v>187</v>
      </c>
      <c r="L79" s="3" t="s">
        <f>ROUND((SQRT(N79^2+Q79^2)),5)</f>
        <v>399</v>
      </c>
      <c r="M79" s="3" t="s">
        <f>SQRT((T79-T78)^2+(U79-U78)^2)</f>
        <v>672</v>
      </c>
      <c r="N79" s="3" t="s">
        <f>T79-T78-P79</f>
        <v>673</v>
      </c>
      <c r="O79" s="3">
        <v>305.59362</v>
      </c>
      <c r="P79" s="3" t="s">
        <f>ROUND(($T$82*$O79/$O$80),3)</f>
        <v>674</v>
      </c>
      <c r="Q79" s="3" t="s">
        <f>U79-U78-R79</f>
        <v>675</v>
      </c>
      <c r="R79" s="3" t="s">
        <f>ROUND(($U$82*$O79/$O$80),3)</f>
        <v>424</v>
      </c>
      <c r="S79" t="s">
        <f>DTM!A7</f>
        <v>120</v>
      </c>
      <c r="T79" s="3" t="s">
        <f>DTM!B7</f>
        <v>147</v>
      </c>
      <c r="U79" s="3" t="s">
        <f>DTM!C7</f>
        <v>148</v>
      </c>
      <c r="V79" t="s">
        <f>DTM!D7</f>
        <v>117</v>
      </c>
    </row>
    <row r="80" ht="15.75" customHeight="1">
      <c r="A80" t="s">
        <f>DTM!A20</f>
        <v>118</v>
      </c>
      <c r="B80" s="4" t="s">
        <f>TRUNC(F80,0)</f>
        <v>152</v>
      </c>
      <c r="C80" s="4" t="s">
        <f>TRUNC((F80-B80)*60,0)</f>
        <v>143</v>
      </c>
      <c r="D80" s="4" t="s">
        <f>ROUND((F80-B80-C80/60)*3600,0)</f>
        <v>247</v>
      </c>
      <c r="E80" s="4">
        <v>74</v>
      </c>
      <c r="F80" s="4" t="s">
        <f>G80+H80/60+I80/3600-E80/3600</f>
        <v>401</v>
      </c>
      <c r="G80" s="4" t="s">
        <f>DTM!H21</f>
        <v>152</v>
      </c>
      <c r="H80" s="4" t="s">
        <f>DTM!I21</f>
        <v>153</v>
      </c>
      <c r="I80" s="4" t="s">
        <f>DTM!J21</f>
        <v>153</v>
      </c>
      <c r="L80" s="3" t="s">
        <f>SUM(L12:L79)</f>
        <v>676</v>
      </c>
      <c r="M80" s="3" t="s">
        <f>SUM(M12:M79)</f>
        <v>676</v>
      </c>
      <c r="N80" s="3" t="s">
        <f>SUM(N12:N79)</f>
        <v>677</v>
      </c>
      <c r="O80" s="3" t="s">
        <f>SUM(O12:O79)</f>
        <v>678</v>
      </c>
      <c r="P80" s="3" t="s">
        <f>SUM(P12:P79)</f>
        <v>679</v>
      </c>
      <c r="Q80" s="3" t="s">
        <f>SUM(Q12:Q79)</f>
        <v>680</v>
      </c>
      <c r="R80" s="3" t="s">
        <f>SUM(R12:R79)</f>
        <v>681</v>
      </c>
      <c r="S80" t="s">
        <f>A80</f>
        <v>118</v>
      </c>
      <c r="T80" s="3" t="s">
        <f>T79-T11</f>
        <v>682</v>
      </c>
      <c r="U80" s="3" t="s">
        <f>U79-U11</f>
        <v>683</v>
      </c>
      <c r="V80" t="s">
        <f>DTM!D8</f>
        <v>117</v>
      </c>
    </row>
    <row r="81" ht="15.75" customHeight="1">
      <c r="A81" t="s">
        <f>DTM!A23</f>
        <v>116</v>
      </c>
      <c r="B81" s="4" t="s">
        <f>TRUNC(F81,0)</f>
        <v>158</v>
      </c>
      <c r="C81" s="4" t="s">
        <f>TRUNC((F81-B81)*60,0)</f>
        <v>133</v>
      </c>
      <c r="D81" s="4" t="s">
        <f>ROUND((F81-B81-C81/60)*3600,0)</f>
        <v>233</v>
      </c>
      <c r="E81" s="4">
        <v>78</v>
      </c>
      <c r="F81" s="4" t="s">
        <f>G81+H81/60+I81/3600-E81/3600</f>
        <v>158</v>
      </c>
      <c r="G81" s="4" t="s">
        <f>DTM!H24</f>
        <v>158</v>
      </c>
      <c r="H81" s="4" t="s">
        <f>DTM!I24</f>
        <v>159</v>
      </c>
      <c r="I81" s="4" t="s">
        <f>DTM!J24</f>
        <v>143</v>
      </c>
      <c r="S81" t="s">
        <f>A81</f>
        <v>116</v>
      </c>
      <c r="T81" s="3" t="s">
        <f>N80</f>
        <v>677</v>
      </c>
      <c r="U81" s="3" t="s">
        <f>Q80</f>
        <v>680</v>
      </c>
      <c r="V81" t="s">
        <f>DTM!D9</f>
        <v>117</v>
      </c>
    </row>
    <row r="82" ht="15.75" customHeight="1">
      <c r="E82" s="4" t="s">
        <f>AVERAGE(E80:E81)</f>
        <v>684</v>
      </c>
      <c r="T82" s="3" t="s">
        <f>SQRT((Q84^2)/2-(Q84^2)/5)</f>
        <v>685</v>
      </c>
      <c r="U82" s="3" t="s">
        <f>SQRT(Q84^2-T82^2)</f>
        <v>681</v>
      </c>
    </row>
    <row r="83" ht="15.75" customHeight="1">
      <c r="A83" t="s">
        <v>686</v>
      </c>
    </row>
    <row r="84" ht="15.75" customHeight="1">
      <c r="A84" t="s">
        <v>687</v>
      </c>
      <c r="E84" s="6" t="s">
        <f>E82/COUNTA(A11:A79)</f>
        <v>688</v>
      </c>
      <c r="G84" s="4" t="s">
        <v>689</v>
      </c>
      <c r="L84" s="2" t="s">
        <v>690</v>
      </c>
      <c r="Q84" t="s">
        <f>ROUND((M80/T84),3)</f>
        <v>691</v>
      </c>
      <c r="R84" s="3" t="s">
        <v>692</v>
      </c>
      <c r="S84" t="s">
        <v>693</v>
      </c>
      <c r="T84" s="7">
        <v>18994.606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9">
    <mergeCell ref="G84:I84"/>
    <mergeCell ref="L84:P84"/>
    <mergeCell ref="A84:D84"/>
    <mergeCell ref="B8:D8"/>
    <mergeCell ref="G8:I8"/>
    <mergeCell ref="G1:I1"/>
    <mergeCell ref="B1:D1"/>
    <mergeCell ref="T84:U84"/>
    <mergeCell ref="A83:D83"/>
  </mergeCells>
  <pageMargins left="0.7" right="0.7" top="0.75" bottom="0.75" header="0" footer="0"/>
  <ignoredErrors>
    <ignoredError numberStoredAsText="1" sqref="A1:AD2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89"/>
  <sheetViews>
    <sheetView workbookViewId="0" rightToLeft="0"/>
  </sheetViews>
  <cols>
    <col min="1" max="1" customWidth="1" width="9.14"/>
    <col min="2" max="2" customWidth="1" width="11.86"/>
    <col min="3" max="3" customWidth="1" width="14.71"/>
    <col min="4" max="4" customWidth="1" width="13.43"/>
    <col min="5" max="5" customWidth="1" width="13.71"/>
    <col min="6" max="6" customWidth="1" width="14.14" hidden="true"/>
    <col min="7" max="7" customWidth="1" width="12"/>
    <col min="8" max="8" customWidth="1" width="9.14"/>
    <col min="9" max="9" customWidth="1" width="9.14"/>
    <col min="10" max="10" customWidth="1" width="8"/>
    <col min="11" max="11" customWidth="1" width="8"/>
  </cols>
  <sheetData>
    <row r="1" hidden="1" ht="14.25" customHeight="1"/>
    <row r="2" hidden="1" ht="20.25" customHeight="1">
      <c r="C2" t="s">
        <v>694</v>
      </c>
    </row>
    <row r="3" hidden="1" ht="14.25" customHeight="1"/>
    <row r="4" hidden="1" ht="14.25" customHeight="1"/>
    <row r="5" hidden="1" ht="15.75" customHeight="1">
      <c r="B5" t="s">
        <v>695</v>
      </c>
    </row>
    <row r="6" hidden="1" ht="15.75" customHeight="1">
      <c r="B6" t="s">
        <v>696</v>
      </c>
      <c r="C6" t="s">
        <v>412</v>
      </c>
      <c r="D6" t="s">
        <v>413</v>
      </c>
      <c r="G6" t="s">
        <v>127</v>
      </c>
    </row>
    <row r="7" hidden="1" ht="15.75" customHeight="1">
      <c r="B7" t="s">
        <f>TRVS!S11</f>
        <v>119</v>
      </c>
      <c r="C7" s="3" t="s">
        <f>TRVS!T11</f>
        <v>128</v>
      </c>
      <c r="D7" s="3" t="s">
        <f>TRVS!U11</f>
        <v>129</v>
      </c>
    </row>
    <row r="8" hidden="1" ht="15.75" customHeight="1">
      <c r="B8" t="s">
        <f>TRVS!S12</f>
        <v>48</v>
      </c>
      <c r="C8" s="3" t="s">
        <f>TRVS!T12</f>
        <v>697</v>
      </c>
      <c r="D8" s="3" t="s">
        <f>TRVS!U12</f>
        <v>698</v>
      </c>
      <c r="E8" t="s">
        <f>D7*C8</f>
        <v>699</v>
      </c>
      <c r="F8" t="s">
        <f>C7*D8</f>
        <v>700</v>
      </c>
      <c r="G8" s="2" t="s">
        <f>SQRT(((C8-C7)^2)+((D8-D7)^2))</f>
        <v>701</v>
      </c>
    </row>
    <row r="9" hidden="1" ht="15.75" customHeight="1">
      <c r="B9" t="s">
        <f>TRVS!S13</f>
        <v>49</v>
      </c>
      <c r="C9" s="3" t="s">
        <f>TRVS!T13</f>
        <v>702</v>
      </c>
      <c r="D9" s="3" t="s">
        <f>TRVS!U13</f>
        <v>703</v>
      </c>
      <c r="E9" t="s">
        <f>D8*C9</f>
        <v>704</v>
      </c>
      <c r="F9" t="s">
        <f>C8*D9</f>
        <v>705</v>
      </c>
      <c r="G9" s="2" t="s">
        <f>SQRT(((C9-C8)^2)+((D9-D8)^2))</f>
        <v>706</v>
      </c>
    </row>
    <row r="10" hidden="1" ht="15.75" customHeight="1">
      <c r="B10" t="s">
        <f>TRVS!S14</f>
        <v>50</v>
      </c>
      <c r="C10" s="3" t="s">
        <f>TRVS!T14</f>
        <v>707</v>
      </c>
      <c r="D10" s="3" t="s">
        <f>TRVS!U14</f>
        <v>708</v>
      </c>
      <c r="E10" t="s">
        <f>D9*C10</f>
        <v>709</v>
      </c>
      <c r="F10" t="s">
        <f>C9*D10</f>
        <v>710</v>
      </c>
      <c r="G10" s="2" t="s">
        <f>SQRT(((C10-C9)^2)+((D10-D9)^2))</f>
        <v>711</v>
      </c>
    </row>
    <row r="11" hidden="1" ht="15.75" customHeight="1">
      <c r="B11" t="s">
        <f>TRVS!S15</f>
        <v>51</v>
      </c>
      <c r="C11" s="3" t="s">
        <f>TRVS!T15</f>
        <v>712</v>
      </c>
      <c r="D11" s="3" t="s">
        <f>TRVS!U15</f>
        <v>713</v>
      </c>
      <c r="E11" t="s">
        <f>D10*C11</f>
        <v>714</v>
      </c>
      <c r="F11" t="s">
        <f>C10*D11</f>
        <v>715</v>
      </c>
      <c r="G11" s="2" t="s">
        <f>SQRT(((C11-C10)^2)+((D11-D10)^2))</f>
        <v>716</v>
      </c>
    </row>
    <row r="12" hidden="1" ht="15.75" customHeight="1">
      <c r="B12" t="s">
        <f>TRVS!S16</f>
        <v>52</v>
      </c>
      <c r="C12" s="3" t="s">
        <f>TRVS!T16</f>
        <v>717</v>
      </c>
      <c r="D12" s="3" t="s">
        <f>TRVS!U16</f>
        <v>718</v>
      </c>
      <c r="E12" t="s">
        <f>D11*C12</f>
        <v>719</v>
      </c>
      <c r="F12" t="s">
        <f>C11*D12</f>
        <v>720</v>
      </c>
      <c r="G12" s="2" t="s">
        <f>SQRT(((C12-C11)^2)+((D12-D11)^2))</f>
        <v>721</v>
      </c>
    </row>
    <row r="13" hidden="1" ht="15.75" customHeight="1">
      <c r="B13" t="s">
        <f>TRVS!S17</f>
        <v>53</v>
      </c>
      <c r="C13" s="3" t="s">
        <f>TRVS!T17</f>
        <v>722</v>
      </c>
      <c r="D13" s="3" t="s">
        <f>TRVS!U17</f>
        <v>723</v>
      </c>
      <c r="E13" t="s">
        <f>D12*C13</f>
        <v>724</v>
      </c>
      <c r="F13" t="s">
        <f>C12*D13</f>
        <v>725</v>
      </c>
      <c r="G13" s="2" t="s">
        <f>SQRT(((C13-C12)^2)+((D13-D12)^2))</f>
        <v>726</v>
      </c>
    </row>
    <row r="14" hidden="1" ht="15.75" customHeight="1">
      <c r="B14" t="s">
        <f>TRVS!S18</f>
        <v>54</v>
      </c>
      <c r="C14" s="3" t="s">
        <f>TRVS!T18</f>
        <v>727</v>
      </c>
      <c r="D14" s="3" t="s">
        <f>TRVS!U18</f>
        <v>728</v>
      </c>
      <c r="E14" t="s">
        <f>D13*C14</f>
        <v>729</v>
      </c>
      <c r="F14" t="s">
        <f>C13*D14</f>
        <v>730</v>
      </c>
      <c r="G14" s="2" t="s">
        <f>SQRT(((C14-C13)^2)+((D14-D13)^2))</f>
        <v>731</v>
      </c>
    </row>
    <row r="15" hidden="1" ht="15.75" customHeight="1">
      <c r="B15" t="s">
        <f>TRVS!S19</f>
        <v>55</v>
      </c>
      <c r="C15" s="3" t="s">
        <f>TRVS!T19</f>
        <v>732</v>
      </c>
      <c r="D15" s="3" t="s">
        <f>TRVS!U19</f>
        <v>733</v>
      </c>
      <c r="E15" t="s">
        <f>D14*C15</f>
        <v>734</v>
      </c>
      <c r="F15" t="s">
        <f>C14*D15</f>
        <v>735</v>
      </c>
      <c r="G15" s="2" t="s">
        <f>SQRT(((C15-C14)^2)+((D15-D14)^2))</f>
        <v>736</v>
      </c>
    </row>
    <row r="16" hidden="1" ht="15.75" customHeight="1">
      <c r="B16" t="s">
        <f>TRVS!S20</f>
        <v>56</v>
      </c>
      <c r="C16" s="3" t="s">
        <f>TRVS!T20</f>
        <v>737</v>
      </c>
      <c r="D16" s="3" t="s">
        <f>TRVS!U20</f>
        <v>738</v>
      </c>
      <c r="E16" t="s">
        <f>D15*C16</f>
        <v>739</v>
      </c>
      <c r="F16" t="s">
        <f>C15*D16</f>
        <v>740</v>
      </c>
      <c r="G16" s="2" t="s">
        <f>SQRT(((C16-C15)^2)+((D16-D15)^2))</f>
        <v>741</v>
      </c>
    </row>
    <row r="17" hidden="1" ht="15.75" customHeight="1">
      <c r="B17" t="s">
        <f>TRVS!S21</f>
        <v>57</v>
      </c>
      <c r="C17" s="3" t="s">
        <f>TRVS!T21</f>
        <v>742</v>
      </c>
      <c r="D17" s="3" t="s">
        <f>TRVS!U21</f>
        <v>743</v>
      </c>
      <c r="E17" t="s">
        <f>D16*C17</f>
        <v>744</v>
      </c>
      <c r="F17" t="s">
        <f>C16*D17</f>
        <v>745</v>
      </c>
      <c r="G17" s="2" t="s">
        <f>SQRT(((C17-C16)^2)+((D17-D16)^2))</f>
        <v>746</v>
      </c>
    </row>
    <row r="18" hidden="1" ht="15.75" customHeight="1">
      <c r="B18" t="s">
        <f>TRVS!S22</f>
        <v>58</v>
      </c>
      <c r="C18" s="3" t="s">
        <f>TRVS!T22</f>
        <v>747</v>
      </c>
      <c r="D18" s="3" t="s">
        <f>TRVS!U22</f>
        <v>748</v>
      </c>
      <c r="E18" t="s">
        <f>D17*C18</f>
        <v>749</v>
      </c>
      <c r="F18" t="s">
        <f>C17*D18</f>
        <v>750</v>
      </c>
      <c r="G18" s="2" t="s">
        <f>SQRT(((C18-C17)^2)+((D18-D17)^2))</f>
        <v>751</v>
      </c>
    </row>
    <row r="19" hidden="1" ht="15.75" customHeight="1">
      <c r="B19" t="s">
        <f>TRVS!S23</f>
        <v>59</v>
      </c>
      <c r="C19" s="3" t="s">
        <f>TRVS!T23</f>
        <v>752</v>
      </c>
      <c r="D19" s="3" t="s">
        <f>TRVS!U23</f>
        <v>753</v>
      </c>
      <c r="E19" t="s">
        <f>D18*C19</f>
        <v>754</v>
      </c>
      <c r="F19" t="s">
        <f>C18*D19</f>
        <v>755</v>
      </c>
      <c r="G19" s="2" t="s">
        <f>SQRT(((C19-C18)^2)+((D19-D18)^2))</f>
        <v>756</v>
      </c>
    </row>
    <row r="20" hidden="1" ht="15.75" customHeight="1">
      <c r="B20" t="s">
        <f>TRVS!S24</f>
        <v>60</v>
      </c>
      <c r="C20" s="3" t="s">
        <f>TRVS!T24</f>
        <v>757</v>
      </c>
      <c r="D20" s="3" t="s">
        <f>TRVS!U24</f>
        <v>758</v>
      </c>
      <c r="E20" t="s">
        <f>D19*C20</f>
        <v>759</v>
      </c>
      <c r="F20" t="s">
        <f>C19*D20</f>
        <v>760</v>
      </c>
      <c r="G20" s="2" t="s">
        <f>SQRT(((C20-C19)^2)+((D20-D19)^2))</f>
        <v>761</v>
      </c>
    </row>
    <row r="21" hidden="1" ht="15.75" customHeight="1">
      <c r="B21" t="s">
        <f>TRVS!S25</f>
        <v>61</v>
      </c>
      <c r="C21" s="3" t="s">
        <f>TRVS!T25</f>
        <v>762</v>
      </c>
      <c r="D21" s="3" t="s">
        <f>TRVS!U25</f>
        <v>763</v>
      </c>
      <c r="E21" t="s">
        <f>D20*C21</f>
        <v>764</v>
      </c>
      <c r="F21" t="s">
        <f>C20*D21</f>
        <v>765</v>
      </c>
      <c r="G21" s="2" t="s">
        <f>SQRT(((C21-C20)^2)+((D21-D20)^2))</f>
        <v>766</v>
      </c>
    </row>
    <row r="22" hidden="1" ht="15.75" customHeight="1">
      <c r="B22" t="s">
        <f>TRVS!S57</f>
        <v>93</v>
      </c>
      <c r="C22" s="3" t="s">
        <f>TRVS!T57</f>
        <v>767</v>
      </c>
      <c r="D22" s="3" t="s">
        <f>TRVS!U57</f>
        <v>768</v>
      </c>
      <c r="E22" t="s">
        <f>D21*C22</f>
        <v>769</v>
      </c>
      <c r="F22" t="s">
        <f>C21*D22</f>
        <v>770</v>
      </c>
      <c r="G22" s="2" t="s">
        <f>SQRT(((C22-C21)^2)+((D22-D21)^2))</f>
        <v>771</v>
      </c>
    </row>
    <row r="23" hidden="1" ht="15.75" customHeight="1">
      <c r="B23" t="s">
        <f>TRVS!S58</f>
        <v>94</v>
      </c>
      <c r="C23" s="3" t="s">
        <f>TRVS!T58</f>
        <v>772</v>
      </c>
      <c r="D23" s="3" t="s">
        <f>TRVS!U58</f>
        <v>773</v>
      </c>
      <c r="E23" t="s">
        <f>D22*C23</f>
        <v>774</v>
      </c>
      <c r="F23" t="s">
        <f>C22*D23</f>
        <v>775</v>
      </c>
      <c r="G23" s="2" t="s">
        <f>SQRT(((C23-C22)^2)+((D23-D22)^2))</f>
        <v>776</v>
      </c>
    </row>
    <row r="24" hidden="1" ht="15.75" customHeight="1">
      <c r="B24" t="s">
        <f>TRVS!S59</f>
        <v>95</v>
      </c>
      <c r="C24" s="3" t="s">
        <f>TRVS!T59</f>
        <v>777</v>
      </c>
      <c r="D24" s="3" t="s">
        <f>TRVS!U59</f>
        <v>778</v>
      </c>
      <c r="E24" t="s">
        <f>D23*C24</f>
        <v>779</v>
      </c>
      <c r="F24" t="s">
        <f>C23*D24</f>
        <v>780</v>
      </c>
      <c r="G24" s="2" t="s">
        <f>SQRT(((C24-C23)^2)+((D24-D23)^2))</f>
        <v>781</v>
      </c>
    </row>
    <row r="25" hidden="1" ht="15.75" customHeight="1">
      <c r="B25" t="s">
        <f>TRVS!S60</f>
        <v>96</v>
      </c>
      <c r="C25" s="3" t="s">
        <f>TRVS!T60</f>
        <v>782</v>
      </c>
      <c r="D25" s="3" t="s">
        <f>TRVS!U60</f>
        <v>783</v>
      </c>
      <c r="E25" t="s">
        <f>D24*C25</f>
        <v>784</v>
      </c>
      <c r="F25" t="s">
        <f>C24*D25</f>
        <v>785</v>
      </c>
      <c r="G25" s="2" t="s">
        <f>SQRT(((C25-C24)^2)+((D25-D24)^2))</f>
        <v>786</v>
      </c>
    </row>
    <row r="26" hidden="1" ht="15.75" customHeight="1">
      <c r="B26" t="s">
        <f>TRVS!S61</f>
        <v>97</v>
      </c>
      <c r="C26" s="3" t="s">
        <f>TRVS!T61</f>
        <v>787</v>
      </c>
      <c r="D26" s="3" t="s">
        <f>TRVS!U61</f>
        <v>788</v>
      </c>
      <c r="E26" t="s">
        <f>D25*C26</f>
        <v>789</v>
      </c>
      <c r="F26" t="s">
        <f>C25*D26</f>
        <v>790</v>
      </c>
      <c r="G26" s="2" t="s">
        <f>SQRT(((C26-C25)^2)+((D26-D25)^2))</f>
        <v>791</v>
      </c>
    </row>
    <row r="27" hidden="1" ht="15.75" customHeight="1">
      <c r="B27" t="s">
        <f>TRVS!S62</f>
        <v>98</v>
      </c>
      <c r="C27" s="3" t="s">
        <f>TRVS!T62</f>
        <v>792</v>
      </c>
      <c r="D27" s="3" t="s">
        <f>TRVS!U62</f>
        <v>793</v>
      </c>
      <c r="E27" t="s">
        <f>D26*C27</f>
        <v>794</v>
      </c>
      <c r="F27" t="s">
        <f>C26*D27</f>
        <v>795</v>
      </c>
      <c r="G27" s="2" t="s">
        <f>SQRT(((C27-C26)^2)+((D27-D26)^2))</f>
        <v>796</v>
      </c>
    </row>
    <row r="28" hidden="1" ht="15.75" customHeight="1">
      <c r="B28" t="s">
        <f>TRVS!S63</f>
        <v>99</v>
      </c>
      <c r="C28" s="3" t="s">
        <f>TRVS!T63</f>
        <v>797</v>
      </c>
      <c r="D28" s="3" t="s">
        <f>TRVS!U63</f>
        <v>798</v>
      </c>
      <c r="E28" t="s">
        <f>D27*C28</f>
        <v>799</v>
      </c>
      <c r="F28" t="s">
        <f>C27*D28</f>
        <v>800</v>
      </c>
      <c r="G28" s="2" t="s">
        <f>SQRT(((C28-C27)^2)+((D28-D27)^2))</f>
        <v>801</v>
      </c>
    </row>
    <row r="29" hidden="1" ht="15.75" customHeight="1">
      <c r="B29" t="s">
        <f>TRVS!S64</f>
        <v>100</v>
      </c>
      <c r="C29" s="3" t="s">
        <f>TRVS!T64</f>
        <v>802</v>
      </c>
      <c r="D29" s="3" t="s">
        <f>TRVS!U64</f>
        <v>803</v>
      </c>
      <c r="E29" t="s">
        <f>D28*C29</f>
        <v>804</v>
      </c>
      <c r="F29" t="s">
        <f>C28*D29</f>
        <v>805</v>
      </c>
      <c r="G29" s="2" t="s">
        <f>SQRT(((C29-C28)^2)+((D29-D28)^2))</f>
        <v>806</v>
      </c>
    </row>
    <row r="30" hidden="1" ht="15.75" customHeight="1">
      <c r="B30" t="s">
        <f>TRVS!S65</f>
        <v>101</v>
      </c>
      <c r="C30" s="3" t="s">
        <f>TRVS!T65</f>
        <v>807</v>
      </c>
      <c r="D30" s="3" t="s">
        <f>TRVS!U65</f>
        <v>808</v>
      </c>
      <c r="E30" t="s">
        <f>D29*C30</f>
        <v>809</v>
      </c>
      <c r="F30" t="s">
        <f>C29*D30</f>
        <v>810</v>
      </c>
      <c r="G30" s="2" t="s">
        <f>SQRT(((C30-C29)^2)+((D30-D29)^2))</f>
        <v>811</v>
      </c>
    </row>
    <row r="31" hidden="1" ht="15.75" customHeight="1">
      <c r="B31" t="s">
        <f>TRVS!S66</f>
        <v>102</v>
      </c>
      <c r="C31" s="3" t="s">
        <f>TRVS!T66</f>
        <v>812</v>
      </c>
      <c r="D31" s="3" t="s">
        <f>TRVS!U66</f>
        <v>813</v>
      </c>
      <c r="E31" t="s">
        <f>D30*C31</f>
        <v>814</v>
      </c>
      <c r="F31" t="s">
        <f>C30*D31</f>
        <v>815</v>
      </c>
      <c r="G31" s="2" t="s">
        <f>SQRT(((C31-C30)^2)+((D31-D30)^2))</f>
        <v>816</v>
      </c>
    </row>
    <row r="32" hidden="1" ht="15.75" customHeight="1">
      <c r="B32" t="s">
        <f>TRVS!S67</f>
        <v>103</v>
      </c>
      <c r="C32" s="3" t="s">
        <f>TRVS!T67</f>
        <v>817</v>
      </c>
      <c r="D32" s="3" t="s">
        <f>TRVS!U67</f>
        <v>818</v>
      </c>
      <c r="E32" t="s">
        <f>D31*C32</f>
        <v>819</v>
      </c>
      <c r="F32" t="s">
        <f>C31*D32</f>
        <v>820</v>
      </c>
      <c r="G32" s="2" t="s">
        <f>SQRT(((C32-C31)^2)+((D32-D31)^2))</f>
        <v>821</v>
      </c>
    </row>
    <row r="33" hidden="1" ht="15.75" customHeight="1">
      <c r="B33" t="s">
        <f>TRVS!#REF!</f>
        <v>822</v>
      </c>
      <c r="C33" s="3" t="s">
        <f>TRVS!#REF!</f>
        <v>822</v>
      </c>
      <c r="D33" s="3" t="s">
        <f>TRVS!#REF!</f>
        <v>822</v>
      </c>
      <c r="E33" t="s">
        <f>D32*C33</f>
        <v>822</v>
      </c>
      <c r="F33" t="s">
        <f>C32*D33</f>
        <v>822</v>
      </c>
      <c r="G33" s="2" t="s">
        <f>SQRT(((C33-C32)^2)+((D33-D32)^2))</f>
        <v>822</v>
      </c>
    </row>
    <row r="34" hidden="1" ht="15.75" customHeight="1">
      <c r="B34" t="s">
        <f>TRVS!S68</f>
        <v>104</v>
      </c>
      <c r="C34" s="3" t="s">
        <f>TRVS!T68</f>
        <v>823</v>
      </c>
      <c r="D34" s="3" t="s">
        <f>TRVS!U68</f>
        <v>824</v>
      </c>
      <c r="E34" t="s">
        <f>D33*C34</f>
        <v>822</v>
      </c>
      <c r="F34" t="s">
        <f>C33*D34</f>
        <v>822</v>
      </c>
      <c r="G34" s="2" t="s">
        <f>SQRT(((C34-C33)^2)+((D34-D33)^2))</f>
        <v>822</v>
      </c>
    </row>
    <row r="35" hidden="1" ht="15.75" customHeight="1">
      <c r="B35" t="s">
        <f>TRVS!S69</f>
        <v>105</v>
      </c>
      <c r="C35" s="3" t="s">
        <f>TRVS!T69</f>
        <v>825</v>
      </c>
      <c r="D35" s="3" t="s">
        <f>TRVS!U69</f>
        <v>826</v>
      </c>
      <c r="E35" t="s">
        <f>D34*C35</f>
        <v>827</v>
      </c>
      <c r="F35" t="s">
        <f>C34*D35</f>
        <v>828</v>
      </c>
      <c r="G35" s="2" t="s">
        <f>SQRT(((C35-C34)^2)+((D35-D34)^2))</f>
        <v>829</v>
      </c>
    </row>
    <row r="36" hidden="1" ht="15.75" customHeight="1">
      <c r="B36" t="s">
        <f>TRVS!S70</f>
        <v>106</v>
      </c>
      <c r="C36" s="3" t="s">
        <f>TRVS!T70</f>
        <v>830</v>
      </c>
      <c r="D36" s="3" t="s">
        <f>TRVS!U70</f>
        <v>831</v>
      </c>
      <c r="E36" t="s">
        <f>D35*C36</f>
        <v>832</v>
      </c>
      <c r="F36" t="s">
        <f>C35*D36</f>
        <v>833</v>
      </c>
      <c r="G36" s="2" t="s">
        <f>SQRT(((C36-C35)^2)+((D36-D35)^2))</f>
        <v>834</v>
      </c>
    </row>
    <row r="37" hidden="1" ht="15.75" customHeight="1">
      <c r="B37" t="s">
        <f>TRVS!S71</f>
        <v>107</v>
      </c>
      <c r="C37" s="3" t="s">
        <f>TRVS!T71</f>
        <v>835</v>
      </c>
      <c r="D37" s="3" t="s">
        <f>TRVS!U71</f>
        <v>836</v>
      </c>
      <c r="E37" t="s">
        <f>D36*C37</f>
        <v>837</v>
      </c>
      <c r="F37" t="s">
        <f>C36*D37</f>
        <v>838</v>
      </c>
      <c r="G37" s="2" t="s">
        <f>SQRT(((C37-C36)^2)+((D37-D36)^2))</f>
        <v>839</v>
      </c>
    </row>
    <row r="38" hidden="1" ht="15.75" customHeight="1">
      <c r="B38" t="s">
        <f>TRVS!S72</f>
        <v>108</v>
      </c>
      <c r="C38" s="3" t="s">
        <f>TRVS!T72</f>
        <v>840</v>
      </c>
      <c r="D38" s="3" t="s">
        <f>TRVS!U72</f>
        <v>841</v>
      </c>
      <c r="E38" t="s">
        <f>D37*C38</f>
        <v>842</v>
      </c>
      <c r="F38" t="s">
        <f>C37*D38</f>
        <v>843</v>
      </c>
      <c r="G38" s="2" t="s">
        <f>SQRT(((C38-C37)^2)+((D38-D37)^2))</f>
        <v>844</v>
      </c>
    </row>
    <row r="39" hidden="1" ht="15.75" customHeight="1">
      <c r="B39" t="s">
        <f>TRVS!S73</f>
        <v>109</v>
      </c>
      <c r="C39" s="3" t="s">
        <f>TRVS!T73</f>
        <v>845</v>
      </c>
      <c r="D39" s="3" t="s">
        <f>TRVS!U73</f>
        <v>846</v>
      </c>
      <c r="E39" t="s">
        <f>D38*C39</f>
        <v>847</v>
      </c>
      <c r="F39" t="s">
        <f>C38*D39</f>
        <v>848</v>
      </c>
      <c r="G39" s="2" t="s">
        <f>SQRT(((C39-C38)^2)+((D39-D38)^2))</f>
        <v>849</v>
      </c>
    </row>
    <row r="40" hidden="1" ht="15.75" customHeight="1">
      <c r="B40" t="s">
        <f>TRVS!S74</f>
        <v>110</v>
      </c>
      <c r="C40" s="3" t="s">
        <f>TRVS!T74</f>
        <v>850</v>
      </c>
      <c r="D40" s="3" t="s">
        <f>TRVS!U74</f>
        <v>851</v>
      </c>
      <c r="E40" t="s">
        <f>D39*C40</f>
        <v>852</v>
      </c>
      <c r="F40" t="s">
        <f>C39*D40</f>
        <v>853</v>
      </c>
      <c r="G40" s="2" t="s">
        <f>SQRT(((C40-C39)^2)+((D40-D39)^2))</f>
        <v>854</v>
      </c>
    </row>
    <row r="41" hidden="1" ht="15.75" customHeight="1">
      <c r="B41" t="s">
        <f>TRVS!S75</f>
        <v>111</v>
      </c>
      <c r="C41" s="3" t="s">
        <f>TRVS!T75</f>
        <v>855</v>
      </c>
      <c r="D41" s="3" t="s">
        <f>TRVS!U75</f>
        <v>856</v>
      </c>
      <c r="E41" t="s">
        <f>D40*C41</f>
        <v>857</v>
      </c>
      <c r="F41" t="s">
        <f>C40*D41</f>
        <v>858</v>
      </c>
      <c r="G41" s="2" t="s">
        <f>SQRT(((C41-C40)^2)+((D41-D40)^2))</f>
        <v>859</v>
      </c>
    </row>
    <row r="42" hidden="1" ht="15.75" customHeight="1">
      <c r="B42" t="s">
        <f>TRVS!#REF!</f>
        <v>822</v>
      </c>
      <c r="C42" s="3" t="s">
        <f>TRVS!#REF!</f>
        <v>822</v>
      </c>
      <c r="D42" s="3" t="s">
        <f>TRVS!#REF!</f>
        <v>822</v>
      </c>
      <c r="E42" t="s">
        <f>D41*C42</f>
        <v>822</v>
      </c>
      <c r="F42" t="s">
        <f>C41*D42</f>
        <v>822</v>
      </c>
      <c r="G42" s="2" t="s">
        <f>SQRT(((C42-C41)^2)+((D42-D41)^2))</f>
        <v>822</v>
      </c>
    </row>
    <row r="43" hidden="1" ht="15.75" customHeight="1">
      <c r="B43" t="s">
        <f>TRVS!#REF!</f>
        <v>822</v>
      </c>
      <c r="C43" s="3" t="s">
        <f>TRVS!#REF!</f>
        <v>822</v>
      </c>
      <c r="D43" s="3" t="s">
        <f>TRVS!#REF!</f>
        <v>822</v>
      </c>
      <c r="E43" t="s">
        <f>D42*C43</f>
        <v>822</v>
      </c>
      <c r="F43" t="s">
        <f>C42*D43</f>
        <v>822</v>
      </c>
      <c r="G43" s="2" t="s">
        <f>SQRT(((C43-C42)^2)+((D43-D42)^2))</f>
        <v>822</v>
      </c>
    </row>
    <row r="44" hidden="1" ht="15.75" customHeight="1">
      <c r="B44" t="s">
        <f>TRVS!#REF!</f>
        <v>822</v>
      </c>
      <c r="C44" s="3" t="s">
        <f>TRVS!#REF!</f>
        <v>822</v>
      </c>
      <c r="D44" s="3" t="s">
        <f>TRVS!#REF!</f>
        <v>822</v>
      </c>
      <c r="E44" t="s">
        <f>D43*C44</f>
        <v>822</v>
      </c>
      <c r="F44" t="s">
        <f>C43*D44</f>
        <v>822</v>
      </c>
      <c r="G44" s="2" t="s">
        <f>SQRT(((C44-C43)^2)+((D44-D43)^2))</f>
        <v>822</v>
      </c>
    </row>
    <row r="45" hidden="1" ht="15.75" customHeight="1">
      <c r="B45" t="s">
        <f>TRVS!#REF!</f>
        <v>822</v>
      </c>
      <c r="C45" s="3" t="s">
        <f>TRVS!#REF!</f>
        <v>822</v>
      </c>
      <c r="D45" s="3" t="s">
        <f>TRVS!#REF!</f>
        <v>822</v>
      </c>
      <c r="E45" t="s">
        <f>D44*C45</f>
        <v>822</v>
      </c>
      <c r="F45" t="s">
        <f>C44*D45</f>
        <v>822</v>
      </c>
      <c r="G45" s="2" t="s">
        <f>SQRT(((C45-C44)^2)+((D45-D44)^2))</f>
        <v>822</v>
      </c>
    </row>
    <row r="46" hidden="1" ht="15.75" customHeight="1">
      <c r="B46" t="s">
        <f>TRVS!#REF!</f>
        <v>822</v>
      </c>
      <c r="C46" s="3" t="s">
        <f>TRVS!#REF!</f>
        <v>822</v>
      </c>
      <c r="D46" s="3" t="s">
        <f>TRVS!#REF!</f>
        <v>822</v>
      </c>
      <c r="E46" t="s">
        <f>D45*C46</f>
        <v>822</v>
      </c>
      <c r="F46" t="s">
        <f>C45*D46</f>
        <v>822</v>
      </c>
      <c r="G46" s="2" t="s">
        <f>SQRT(((C46-C45)^2)+((D46-D45)^2))</f>
        <v>822</v>
      </c>
    </row>
    <row r="47" hidden="1" ht="15.75" customHeight="1">
      <c r="B47" t="s">
        <f>TRVS!#REF!</f>
        <v>822</v>
      </c>
      <c r="C47" s="3" t="s">
        <f>TRVS!#REF!</f>
        <v>822</v>
      </c>
      <c r="D47" s="3" t="s">
        <f>TRVS!#REF!</f>
        <v>822</v>
      </c>
      <c r="E47" t="s">
        <f>D46*C47</f>
        <v>822</v>
      </c>
      <c r="F47" t="s">
        <f>C46*D47</f>
        <v>822</v>
      </c>
      <c r="G47" s="2" t="s">
        <f>SQRT(((C47-C46)^2)+((D47-D46)^2))</f>
        <v>822</v>
      </c>
    </row>
    <row r="48" hidden="1" ht="15.75" customHeight="1">
      <c r="B48" t="s">
        <f>TRVS!#REF!</f>
        <v>822</v>
      </c>
      <c r="C48" s="3" t="s">
        <f>TRVS!#REF!</f>
        <v>822</v>
      </c>
      <c r="D48" s="3" t="s">
        <f>TRVS!#REF!</f>
        <v>822</v>
      </c>
      <c r="E48" t="s">
        <f>D47*C48</f>
        <v>822</v>
      </c>
      <c r="F48" t="s">
        <f>C47*D48</f>
        <v>822</v>
      </c>
      <c r="G48" s="2" t="s">
        <f>SQRT(((C48-C47)^2)+((D48-D47)^2))</f>
        <v>822</v>
      </c>
    </row>
    <row r="49" hidden="1" ht="15.75" customHeight="1">
      <c r="B49" t="s">
        <f>TRVS!#REF!</f>
        <v>822</v>
      </c>
      <c r="C49" s="3" t="s">
        <f>TRVS!#REF!</f>
        <v>822</v>
      </c>
      <c r="D49" s="3" t="s">
        <f>TRVS!#REF!</f>
        <v>822</v>
      </c>
      <c r="E49" t="s">
        <f>D48*C49</f>
        <v>822</v>
      </c>
      <c r="F49" t="s">
        <f>C48*D49</f>
        <v>822</v>
      </c>
      <c r="G49" s="2" t="s">
        <f>SQRT(((C49-C48)^2)+((D49-D48)^2))</f>
        <v>822</v>
      </c>
    </row>
    <row r="50" hidden="1" ht="15.75" customHeight="1">
      <c r="B50" t="s">
        <f>TRVS!#REF!</f>
        <v>822</v>
      </c>
      <c r="C50" s="3" t="s">
        <f>TRVS!#REF!</f>
        <v>822</v>
      </c>
      <c r="D50" s="3" t="s">
        <f>TRVS!#REF!</f>
        <v>822</v>
      </c>
      <c r="E50" t="s">
        <f>D49*C50</f>
        <v>822</v>
      </c>
      <c r="F50" t="s">
        <f>C49*D50</f>
        <v>822</v>
      </c>
      <c r="G50" s="2" t="s">
        <f>SQRT(((C50-C49)^2)+((D50-D49)^2))</f>
        <v>822</v>
      </c>
    </row>
    <row r="51" hidden="1" ht="15.75" customHeight="1">
      <c r="B51" t="s">
        <f>TRVS!#REF!</f>
        <v>822</v>
      </c>
      <c r="C51" s="3" t="s">
        <f>TRVS!#REF!</f>
        <v>822</v>
      </c>
      <c r="D51" s="3" t="s">
        <f>TRVS!#REF!</f>
        <v>822</v>
      </c>
      <c r="E51" t="s">
        <f>D50*C51</f>
        <v>822</v>
      </c>
      <c r="F51" t="s">
        <f>C50*D51</f>
        <v>822</v>
      </c>
      <c r="G51" s="2" t="s">
        <f>SQRT(((C51-C50)^2)+((D51-D50)^2))</f>
        <v>822</v>
      </c>
    </row>
    <row r="52" hidden="1" ht="15.75" customHeight="1">
      <c r="B52" t="s">
        <f>TRVS!#REF!</f>
        <v>822</v>
      </c>
      <c r="C52" s="3" t="s">
        <f>TRVS!#REF!</f>
        <v>822</v>
      </c>
      <c r="D52" s="3" t="s">
        <f>TRVS!#REF!</f>
        <v>822</v>
      </c>
      <c r="E52" t="s">
        <f>D51*C52</f>
        <v>822</v>
      </c>
      <c r="F52" t="s">
        <f>C51*D52</f>
        <v>822</v>
      </c>
      <c r="G52" s="2" t="s">
        <f>SQRT(((C52-C51)^2)+((D52-D51)^2))</f>
        <v>822</v>
      </c>
    </row>
    <row r="53" hidden="1" ht="15.75" customHeight="1">
      <c r="B53" t="s">
        <f>TRVS!#REF!</f>
        <v>822</v>
      </c>
      <c r="C53" s="3" t="s">
        <f>TRVS!#REF!</f>
        <v>822</v>
      </c>
      <c r="D53" s="3" t="s">
        <f>TRVS!#REF!</f>
        <v>822</v>
      </c>
      <c r="E53" t="s">
        <f>D52*C53</f>
        <v>822</v>
      </c>
      <c r="F53" t="s">
        <f>C52*D53</f>
        <v>822</v>
      </c>
      <c r="G53" s="2" t="s">
        <f>SQRT(((C53-C52)^2)+((D53-D52)^2))</f>
        <v>822</v>
      </c>
    </row>
    <row r="54" hidden="1" ht="15.75" customHeight="1">
      <c r="B54" t="s">
        <f>TRVS!#REF!</f>
        <v>822</v>
      </c>
      <c r="C54" s="3" t="s">
        <f>TRVS!#REF!</f>
        <v>822</v>
      </c>
      <c r="D54" s="3" t="s">
        <f>TRVS!#REF!</f>
        <v>822</v>
      </c>
      <c r="E54" t="s">
        <f>D53*C54</f>
        <v>822</v>
      </c>
      <c r="F54" t="s">
        <f>C53*D54</f>
        <v>822</v>
      </c>
      <c r="G54" s="2" t="s">
        <f>SQRT(((C54-C53)^2)+((D54-D53)^2))</f>
        <v>822</v>
      </c>
    </row>
    <row r="55" hidden="1" ht="15.75" customHeight="1">
      <c r="B55" t="s">
        <f>TRVS!#REF!</f>
        <v>822</v>
      </c>
      <c r="C55" s="3" t="s">
        <f>TRVS!#REF!</f>
        <v>822</v>
      </c>
      <c r="D55" s="3" t="s">
        <f>TRVS!#REF!</f>
        <v>822</v>
      </c>
      <c r="E55" t="s">
        <f>D54*C55</f>
        <v>822</v>
      </c>
      <c r="F55" t="s">
        <f>C54*D55</f>
        <v>822</v>
      </c>
      <c r="G55" s="2" t="s">
        <f>SQRT(((C55-C54)^2)+((D55-D54)^2))</f>
        <v>822</v>
      </c>
    </row>
    <row r="56" hidden="1" ht="15.75" customHeight="1">
      <c r="B56" t="s">
        <f>TRVS!#REF!</f>
        <v>822</v>
      </c>
      <c r="C56" s="3" t="s">
        <f>TRVS!#REF!</f>
        <v>822</v>
      </c>
      <c r="D56" s="3" t="s">
        <f>TRVS!#REF!</f>
        <v>822</v>
      </c>
      <c r="E56" t="s">
        <f>D55*C56</f>
        <v>822</v>
      </c>
      <c r="F56" t="s">
        <f>C55*D56</f>
        <v>822</v>
      </c>
      <c r="G56" s="2" t="s">
        <f>SQRT(((C56-C55)^2)+((D56-D55)^2))</f>
        <v>822</v>
      </c>
    </row>
    <row r="57" hidden="1" ht="15.75" customHeight="1">
      <c r="B57" t="s">
        <f>TRVS!#REF!</f>
        <v>822</v>
      </c>
      <c r="C57" s="3" t="s">
        <f>TRVS!#REF!</f>
        <v>822</v>
      </c>
      <c r="D57" s="3" t="s">
        <f>TRVS!#REF!</f>
        <v>822</v>
      </c>
      <c r="E57" t="s">
        <f>D56*C57</f>
        <v>822</v>
      </c>
      <c r="F57" t="s">
        <f>C56*D57</f>
        <v>822</v>
      </c>
      <c r="G57" s="2" t="s">
        <f>SQRT(((C57-C56)^2)+((D57-D56)^2))</f>
        <v>822</v>
      </c>
    </row>
    <row r="58" hidden="1" ht="15.75" customHeight="1">
      <c r="B58" t="s">
        <f>TRVS!#REF!</f>
        <v>822</v>
      </c>
      <c r="C58" s="3" t="s">
        <f>TRVS!#REF!</f>
        <v>822</v>
      </c>
      <c r="D58" s="3" t="s">
        <f>TRVS!#REF!</f>
        <v>822</v>
      </c>
      <c r="E58" t="s">
        <f>D57*C58</f>
        <v>822</v>
      </c>
      <c r="F58" t="s">
        <f>C57*D58</f>
        <v>822</v>
      </c>
      <c r="G58" s="2" t="s">
        <f>SQRT(((C58-C57)^2)+((D58-D57)^2))</f>
        <v>822</v>
      </c>
    </row>
    <row r="59" hidden="1" ht="15.75" customHeight="1">
      <c r="B59" t="s">
        <f>TRVS!#REF!</f>
        <v>822</v>
      </c>
      <c r="C59" s="3" t="s">
        <f>TRVS!#REF!</f>
        <v>822</v>
      </c>
      <c r="D59" s="3" t="s">
        <f>TRVS!#REF!</f>
        <v>822</v>
      </c>
      <c r="E59" t="s">
        <f>D58*C59</f>
        <v>822</v>
      </c>
      <c r="F59" t="s">
        <f>C58*D59</f>
        <v>822</v>
      </c>
      <c r="G59" s="2" t="s">
        <f>SQRT(((C59-C58)^2)+((D59-D58)^2))</f>
        <v>822</v>
      </c>
    </row>
    <row r="60" hidden="1" ht="15.75" customHeight="1">
      <c r="B60" t="s">
        <f>TRVS!#REF!</f>
        <v>822</v>
      </c>
      <c r="C60" s="3" t="s">
        <f>TRVS!#REF!</f>
        <v>822</v>
      </c>
      <c r="D60" s="3" t="s">
        <f>TRVS!#REF!</f>
        <v>822</v>
      </c>
      <c r="E60" t="s">
        <f>D59*C60</f>
        <v>822</v>
      </c>
      <c r="F60" t="s">
        <f>C59*D60</f>
        <v>822</v>
      </c>
      <c r="G60" s="2" t="s">
        <f>SQRT(((C60-C59)^2)+((D60-D59)^2))</f>
        <v>822</v>
      </c>
    </row>
    <row r="61" hidden="1" ht="15.75" customHeight="1">
      <c r="B61" t="s">
        <f>TRVS!#REF!</f>
        <v>822</v>
      </c>
      <c r="C61" s="3" t="s">
        <f>TRVS!#REF!</f>
        <v>822</v>
      </c>
      <c r="D61" s="3" t="s">
        <f>TRVS!#REF!</f>
        <v>822</v>
      </c>
      <c r="E61" t="s">
        <f>D60*C61</f>
        <v>822</v>
      </c>
      <c r="F61" t="s">
        <f>C60*D61</f>
        <v>822</v>
      </c>
      <c r="G61" s="2" t="s">
        <f>SQRT(((C61-C60)^2)+((D61-D60)^2))</f>
        <v>822</v>
      </c>
    </row>
    <row r="62" hidden="1" ht="15.75" customHeight="1">
      <c r="B62" t="s">
        <f>TRVS!#REF!</f>
        <v>822</v>
      </c>
      <c r="C62" s="3" t="s">
        <f>TRVS!#REF!</f>
        <v>822</v>
      </c>
      <c r="D62" s="3" t="s">
        <f>TRVS!#REF!</f>
        <v>822</v>
      </c>
      <c r="E62" t="s">
        <f>D61*C62</f>
        <v>822</v>
      </c>
      <c r="F62" t="s">
        <f>C61*D62</f>
        <v>822</v>
      </c>
      <c r="G62" s="2" t="s">
        <f>SQRT(((C62-C61)^2)+((D62-D61)^2))</f>
        <v>822</v>
      </c>
    </row>
    <row r="63" hidden="1" ht="15.75" customHeight="1">
      <c r="B63" t="s">
        <f>TRVS!#REF!</f>
        <v>822</v>
      </c>
      <c r="C63" s="3" t="s">
        <f>TRVS!#REF!</f>
        <v>822</v>
      </c>
      <c r="D63" s="3" t="s">
        <f>TRVS!#REF!</f>
        <v>822</v>
      </c>
      <c r="E63" t="s">
        <f>D62*C63</f>
        <v>822</v>
      </c>
      <c r="F63" t="s">
        <f>C62*D63</f>
        <v>822</v>
      </c>
      <c r="G63" s="2" t="s">
        <f>SQRT(((C63-C62)^2)+((D63-D62)^2))</f>
        <v>822</v>
      </c>
    </row>
    <row r="64" hidden="1" ht="15.75" customHeight="1">
      <c r="B64" t="s">
        <f>TRVS!#REF!</f>
        <v>822</v>
      </c>
      <c r="C64" s="3" t="s">
        <f>TRVS!#REF!</f>
        <v>822</v>
      </c>
      <c r="D64" s="3" t="s">
        <f>TRVS!#REF!</f>
        <v>822</v>
      </c>
      <c r="E64" t="s">
        <f>D63*C64</f>
        <v>822</v>
      </c>
      <c r="F64" t="s">
        <f>C63*D64</f>
        <v>822</v>
      </c>
      <c r="G64" s="2" t="s">
        <f>SQRT(((C64-C63)^2)+((D64-D63)^2))</f>
        <v>822</v>
      </c>
    </row>
    <row r="65" hidden="1" ht="15.75" customHeight="1">
      <c r="B65" t="s">
        <f>TRVS!#REF!</f>
        <v>822</v>
      </c>
      <c r="C65" s="3" t="s">
        <f>TRVS!#REF!</f>
        <v>822</v>
      </c>
      <c r="D65" s="3" t="s">
        <f>TRVS!#REF!</f>
        <v>822</v>
      </c>
      <c r="E65" t="s">
        <f>D64*C65</f>
        <v>822</v>
      </c>
      <c r="F65" t="s">
        <f>C64*D65</f>
        <v>822</v>
      </c>
      <c r="G65" s="2" t="s">
        <f>SQRT(((C65-C64)^2)+((D65-D64)^2))</f>
        <v>822</v>
      </c>
    </row>
    <row r="66" hidden="1" ht="15.75" customHeight="1">
      <c r="B66" t="s">
        <f>TRVS!#REF!</f>
        <v>822</v>
      </c>
      <c r="C66" s="3" t="s">
        <f>TRVS!#REF!</f>
        <v>822</v>
      </c>
      <c r="D66" s="3" t="s">
        <f>TRVS!#REF!</f>
        <v>822</v>
      </c>
      <c r="E66" t="s">
        <f>D65*C66</f>
        <v>822</v>
      </c>
      <c r="F66" t="s">
        <f>C65*D66</f>
        <v>822</v>
      </c>
      <c r="G66" s="2" t="s">
        <f>SQRT(((C66-C65)^2)+((D66-D65)^2))</f>
        <v>822</v>
      </c>
    </row>
    <row r="67" hidden="1" ht="15.75" customHeight="1">
      <c r="B67" t="s">
        <f>TRVS!#REF!</f>
        <v>822</v>
      </c>
      <c r="C67" s="3" t="s">
        <f>TRVS!#REF!</f>
        <v>822</v>
      </c>
      <c r="D67" s="3" t="s">
        <f>TRVS!#REF!</f>
        <v>822</v>
      </c>
      <c r="E67" t="s">
        <f>D66*C67</f>
        <v>822</v>
      </c>
      <c r="F67" t="s">
        <f>C66*D67</f>
        <v>822</v>
      </c>
      <c r="G67" s="2" t="s">
        <f>SQRT(((C67-C66)^2)+((D67-D66)^2))</f>
        <v>822</v>
      </c>
    </row>
    <row r="68" hidden="1" ht="15.75" customHeight="1">
      <c r="B68" t="s">
        <f>TRVS!#REF!</f>
        <v>822</v>
      </c>
      <c r="C68" s="3" t="s">
        <f>TRVS!#REF!</f>
        <v>822</v>
      </c>
      <c r="D68" s="3" t="s">
        <f>TRVS!#REF!</f>
        <v>822</v>
      </c>
      <c r="E68" t="s">
        <f>D67*C68</f>
        <v>822</v>
      </c>
      <c r="F68" t="s">
        <f>C67*D68</f>
        <v>822</v>
      </c>
      <c r="G68" s="2" t="s">
        <f>SQRT(((C68-C67)^2)+((D68-D67)^2))</f>
        <v>822</v>
      </c>
    </row>
    <row r="69" hidden="1" ht="15.75" customHeight="1">
      <c r="B69" t="s">
        <f>TRVS!#REF!</f>
        <v>822</v>
      </c>
      <c r="C69" s="3" t="s">
        <f>TRVS!#REF!</f>
        <v>822</v>
      </c>
      <c r="D69" s="3" t="s">
        <f>TRVS!#REF!</f>
        <v>822</v>
      </c>
      <c r="E69" t="s">
        <f>D68*C69</f>
        <v>822</v>
      </c>
      <c r="F69" t="s">
        <f>C68*D69</f>
        <v>822</v>
      </c>
      <c r="G69" s="2" t="s">
        <f>SQRT(((C69-C68)^2)+((D69-D68)^2))</f>
        <v>822</v>
      </c>
    </row>
    <row r="70" hidden="1" ht="15.75" customHeight="1">
      <c r="B70" t="s">
        <f>TRVS!#REF!</f>
        <v>822</v>
      </c>
      <c r="C70" s="3" t="s">
        <f>TRVS!#REF!</f>
        <v>822</v>
      </c>
      <c r="D70" s="3" t="s">
        <f>TRVS!#REF!</f>
        <v>822</v>
      </c>
      <c r="E70" t="s">
        <f>D69*C70</f>
        <v>822</v>
      </c>
      <c r="F70" t="s">
        <f>C69*D70</f>
        <v>822</v>
      </c>
      <c r="G70" s="2" t="s">
        <f>SQRT(((C70-C69)^2)+((D70-D69)^2))</f>
        <v>822</v>
      </c>
    </row>
    <row r="71" hidden="1" ht="15.75" customHeight="1">
      <c r="B71" t="s">
        <f>TRVS!#REF!</f>
        <v>822</v>
      </c>
      <c r="C71" s="3" t="s">
        <f>TRVS!#REF!</f>
        <v>822</v>
      </c>
      <c r="D71" s="3" t="s">
        <f>TRVS!#REF!</f>
        <v>822</v>
      </c>
      <c r="E71" t="s">
        <f>D70*C71</f>
        <v>822</v>
      </c>
      <c r="F71" t="s">
        <f>C70*D71</f>
        <v>822</v>
      </c>
      <c r="G71" s="2" t="s">
        <f>SQRT(((C71-C70)^2)+((D71-D70)^2))</f>
        <v>822</v>
      </c>
    </row>
    <row r="72" hidden="1" ht="15.75" customHeight="1">
      <c r="B72" t="s">
        <f>TRVS!#REF!</f>
        <v>822</v>
      </c>
      <c r="C72" s="3" t="s">
        <f>TRVS!#REF!</f>
        <v>822</v>
      </c>
      <c r="D72" s="3" t="s">
        <f>TRVS!#REF!</f>
        <v>822</v>
      </c>
      <c r="E72" t="s">
        <f>D71*C72</f>
        <v>822</v>
      </c>
      <c r="F72" t="s">
        <f>C71*D72</f>
        <v>822</v>
      </c>
      <c r="G72" s="2" t="s">
        <f>SQRT(((C72-C71)^2)+((D72-D71)^2))</f>
        <v>822</v>
      </c>
    </row>
    <row r="73" hidden="1" ht="15.75" customHeight="1">
      <c r="B73" t="s">
        <f>TRVS!#REF!</f>
        <v>822</v>
      </c>
      <c r="C73" s="3" t="s">
        <f>TRVS!#REF!</f>
        <v>822</v>
      </c>
      <c r="D73" s="3" t="s">
        <f>TRVS!#REF!</f>
        <v>822</v>
      </c>
      <c r="E73" t="s">
        <f>D72*C73</f>
        <v>822</v>
      </c>
      <c r="F73" t="s">
        <f>C72*D73</f>
        <v>822</v>
      </c>
      <c r="G73" s="2" t="s">
        <f>SQRT(((C73-C72)^2)+((D73-D72)^2))</f>
        <v>822</v>
      </c>
    </row>
    <row r="74" hidden="1" ht="15.75" customHeight="1">
      <c r="B74" t="s">
        <f>TRVS!#REF!</f>
        <v>822</v>
      </c>
      <c r="C74" s="3" t="s">
        <f>TRVS!#REF!</f>
        <v>822</v>
      </c>
      <c r="D74" s="3" t="s">
        <f>TRVS!#REF!</f>
        <v>822</v>
      </c>
      <c r="E74" t="s">
        <f>D73*C74</f>
        <v>822</v>
      </c>
      <c r="F74" t="s">
        <f>C73*D74</f>
        <v>822</v>
      </c>
      <c r="G74" s="2" t="s">
        <f>SQRT(((C74-C73)^2)+((D74-D73)^2))</f>
        <v>822</v>
      </c>
    </row>
    <row r="75" hidden="1" ht="15.75" customHeight="1">
      <c r="B75" t="s">
        <f>TRVS!#REF!</f>
        <v>822</v>
      </c>
      <c r="C75" s="3" t="s">
        <f>TRVS!#REF!</f>
        <v>822</v>
      </c>
      <c r="D75" s="3" t="s">
        <f>TRVS!#REF!</f>
        <v>822</v>
      </c>
      <c r="E75" t="s">
        <f>D74*C75</f>
        <v>822</v>
      </c>
      <c r="F75" t="s">
        <f>C74*D75</f>
        <v>822</v>
      </c>
      <c r="G75" s="2" t="s">
        <f>SQRT(((C75-C74)^2)+((D75-D74)^2))</f>
        <v>822</v>
      </c>
    </row>
    <row r="76" hidden="1" ht="15.75" customHeight="1">
      <c r="B76" t="s">
        <f>TRVS!#REF!</f>
        <v>822</v>
      </c>
      <c r="C76" s="3" t="s">
        <f>TRVS!#REF!</f>
        <v>822</v>
      </c>
      <c r="D76" s="3" t="s">
        <f>TRVS!#REF!</f>
        <v>822</v>
      </c>
      <c r="E76" t="s">
        <f>D75*C76</f>
        <v>822</v>
      </c>
      <c r="F76" t="s">
        <f>C75*D76</f>
        <v>822</v>
      </c>
      <c r="G76" s="2" t="s">
        <f>SQRT(((C76-C75)^2)+((D76-D75)^2))</f>
        <v>822</v>
      </c>
    </row>
    <row r="77" hidden="1" ht="15.75" customHeight="1">
      <c r="B77" t="s">
        <f>TRVS!#REF!</f>
        <v>822</v>
      </c>
      <c r="C77" s="3" t="s">
        <f>TRVS!#REF!</f>
        <v>822</v>
      </c>
      <c r="D77" s="3" t="s">
        <f>TRVS!#REF!</f>
        <v>822</v>
      </c>
      <c r="E77" t="s">
        <f>D76*C77</f>
        <v>822</v>
      </c>
      <c r="F77" t="s">
        <f>C76*D77</f>
        <v>822</v>
      </c>
      <c r="G77" s="2" t="s">
        <f>SQRT(((C77-C76)^2)+((D77-D76)^2))</f>
        <v>822</v>
      </c>
    </row>
    <row r="78" hidden="1" ht="15.75" customHeight="1">
      <c r="B78" t="s">
        <f>TRVS!#REF!</f>
        <v>822</v>
      </c>
      <c r="C78" s="3" t="s">
        <f>TRVS!#REF!</f>
        <v>822</v>
      </c>
      <c r="D78" s="3" t="s">
        <f>TRVS!#REF!</f>
        <v>822</v>
      </c>
      <c r="E78" t="s">
        <f>D77*C78</f>
        <v>822</v>
      </c>
      <c r="F78" t="s">
        <f>C77*D78</f>
        <v>822</v>
      </c>
      <c r="G78" s="2" t="s">
        <f>SQRT(((C78-C77)^2)+((D78-D77)^2))</f>
        <v>822</v>
      </c>
    </row>
    <row r="79" hidden="1" ht="15.75" customHeight="1">
      <c r="B79" t="s">
        <f>TRVS!#REF!</f>
        <v>822</v>
      </c>
      <c r="C79" s="3" t="s">
        <f>TRVS!#REF!</f>
        <v>822</v>
      </c>
      <c r="D79" s="3" t="s">
        <f>TRVS!#REF!</f>
        <v>822</v>
      </c>
      <c r="E79" t="s">
        <f>D78*C79</f>
        <v>822</v>
      </c>
      <c r="F79" t="s">
        <f>C78*D79</f>
        <v>822</v>
      </c>
      <c r="G79" s="2" t="s">
        <f>SQRT(((C79-C78)^2)+((D79-D78)^2))</f>
        <v>822</v>
      </c>
    </row>
    <row r="80" hidden="1" ht="15.75" customHeight="1">
      <c r="B80" t="s">
        <f>TRVS!#REF!</f>
        <v>822</v>
      </c>
      <c r="C80" s="3" t="s">
        <f>TRVS!#REF!</f>
        <v>822</v>
      </c>
      <c r="D80" s="3" t="s">
        <f>TRVS!#REF!</f>
        <v>822</v>
      </c>
      <c r="E80" t="s">
        <f>D79*C80</f>
        <v>822</v>
      </c>
      <c r="F80" t="s">
        <f>C79*D80</f>
        <v>822</v>
      </c>
      <c r="G80" s="2" t="s">
        <f>SQRT(((C80-C79)^2)+((D80-D79)^2))</f>
        <v>822</v>
      </c>
    </row>
    <row r="81" hidden="1" ht="15.75" customHeight="1">
      <c r="B81" t="s">
        <f>TRVS!#REF!</f>
        <v>822</v>
      </c>
      <c r="C81" s="3" t="s">
        <f>TRVS!#REF!</f>
        <v>822</v>
      </c>
      <c r="D81" s="3" t="s">
        <f>TRVS!#REF!</f>
        <v>822</v>
      </c>
      <c r="E81" t="s">
        <f>D80*C81</f>
        <v>822</v>
      </c>
      <c r="F81" t="s">
        <f>C80*D81</f>
        <v>822</v>
      </c>
      <c r="G81" s="2" t="s">
        <f>SQRT(((C81-C80)^2)+((D81-D80)^2))</f>
        <v>822</v>
      </c>
    </row>
    <row r="82" hidden="1" ht="15.75" customHeight="1">
      <c r="B82" t="s">
        <f>TRVS!#REF!</f>
        <v>822</v>
      </c>
      <c r="C82" s="3" t="s">
        <f>TRVS!#REF!</f>
        <v>822</v>
      </c>
      <c r="D82" s="3" t="s">
        <f>TRVS!#REF!</f>
        <v>822</v>
      </c>
      <c r="E82" t="s">
        <f>D81*C82</f>
        <v>822</v>
      </c>
      <c r="F82" t="s">
        <f>C81*D82</f>
        <v>822</v>
      </c>
      <c r="G82" s="2" t="s">
        <f>SQRT(((C82-C81)^2)+((D82-D81)^2))</f>
        <v>822</v>
      </c>
    </row>
    <row r="83" hidden="1" ht="15.75" customHeight="1">
      <c r="B83" t="s">
        <f>TRVS!#REF!</f>
        <v>822</v>
      </c>
      <c r="C83" s="3" t="s">
        <f>TRVS!#REF!</f>
        <v>822</v>
      </c>
      <c r="D83" s="3" t="s">
        <f>TRVS!#REF!</f>
        <v>822</v>
      </c>
      <c r="E83" t="s">
        <f>D82*C83</f>
        <v>822</v>
      </c>
      <c r="F83" t="s">
        <f>C82*D83</f>
        <v>822</v>
      </c>
      <c r="G83" s="2" t="s">
        <f>SQRT(((C83-C82)^2)+((D83-D82)^2))</f>
        <v>822</v>
      </c>
    </row>
    <row r="84" hidden="1" ht="15.75" customHeight="1">
      <c r="B84" t="s">
        <f>TRVS!#REF!</f>
        <v>822</v>
      </c>
      <c r="C84" s="3" t="s">
        <f>TRVS!#REF!</f>
        <v>822</v>
      </c>
      <c r="D84" s="3" t="s">
        <f>TRVS!#REF!</f>
        <v>822</v>
      </c>
      <c r="E84" t="s">
        <f>D83*C84</f>
        <v>822</v>
      </c>
      <c r="F84" t="s">
        <f>C83*D84</f>
        <v>822</v>
      </c>
      <c r="G84" s="2" t="s">
        <f>SQRT(((C84-C83)^2)+((D84-D83)^2))</f>
        <v>822</v>
      </c>
    </row>
    <row r="85" hidden="1" ht="15.75" customHeight="1">
      <c r="B85" t="s">
        <f>TRVS!#REF!</f>
        <v>822</v>
      </c>
      <c r="C85" s="3" t="s">
        <f>TRVS!#REF!</f>
        <v>822</v>
      </c>
      <c r="D85" s="3" t="s">
        <f>TRVS!#REF!</f>
        <v>822</v>
      </c>
      <c r="E85" t="s">
        <f>D84*C85</f>
        <v>822</v>
      </c>
      <c r="F85" t="s">
        <f>C84*D85</f>
        <v>822</v>
      </c>
      <c r="G85" s="2" t="s">
        <f>SQRT(((C85-C84)^2)+((D85-D84)^2))</f>
        <v>822</v>
      </c>
    </row>
    <row r="86" hidden="1" ht="15.75" customHeight="1">
      <c r="B86" t="s">
        <f>TRVS!#REF!</f>
        <v>822</v>
      </c>
      <c r="C86" s="3" t="s">
        <f>TRVS!#REF!</f>
        <v>822</v>
      </c>
      <c r="D86" s="3" t="s">
        <f>TRVS!#REF!</f>
        <v>822</v>
      </c>
      <c r="E86" t="s">
        <f>D85*C86</f>
        <v>822</v>
      </c>
      <c r="F86" t="s">
        <f>C85*D86</f>
        <v>822</v>
      </c>
      <c r="G86" s="2" t="s">
        <f>SQRT(((C86-C85)^2)+((D86-D85)^2))</f>
        <v>822</v>
      </c>
    </row>
    <row r="87" hidden="1" ht="15.75" customHeight="1">
      <c r="B87" t="s">
        <f>TRVS!#REF!</f>
        <v>822</v>
      </c>
      <c r="C87" s="3" t="s">
        <f>TRVS!#REF!</f>
        <v>822</v>
      </c>
      <c r="D87" s="3" t="s">
        <f>TRVS!#REF!</f>
        <v>822</v>
      </c>
      <c r="E87" t="s">
        <f>D86*C87</f>
        <v>822</v>
      </c>
      <c r="F87" t="s">
        <f>C86*D87</f>
        <v>822</v>
      </c>
      <c r="G87" s="2" t="s">
        <f>SQRT(((C87-C86)^2)+((D87-D86)^2))</f>
        <v>822</v>
      </c>
    </row>
    <row r="88" hidden="1" ht="15.75" customHeight="1">
      <c r="B88" t="s">
        <f>TRVS!#REF!</f>
        <v>822</v>
      </c>
      <c r="C88" s="3" t="s">
        <f>TRVS!#REF!</f>
        <v>822</v>
      </c>
      <c r="D88" s="3" t="s">
        <f>TRVS!#REF!</f>
        <v>822</v>
      </c>
      <c r="E88" t="s">
        <f>D87*C88</f>
        <v>822</v>
      </c>
      <c r="F88" t="s">
        <f>C87*D88</f>
        <v>822</v>
      </c>
      <c r="G88" s="2" t="s">
        <f>SQRT(((C88-C87)^2)+((D88-D87)^2))</f>
        <v>822</v>
      </c>
    </row>
    <row r="89" hidden="1" ht="15.75" customHeight="1">
      <c r="B89" t="s">
        <f>TRVS!#REF!</f>
        <v>822</v>
      </c>
      <c r="C89" s="3" t="s">
        <f>TRVS!#REF!</f>
        <v>822</v>
      </c>
      <c r="D89" s="3" t="s">
        <f>TRVS!#REF!</f>
        <v>822</v>
      </c>
      <c r="E89" t="s">
        <f>D88*C89</f>
        <v>822</v>
      </c>
      <c r="F89" t="s">
        <f>C88*D89</f>
        <v>822</v>
      </c>
      <c r="G89" s="2" t="s">
        <f>SQRT(((C89-C88)^2)+((D89-D88)^2))</f>
        <v>822</v>
      </c>
    </row>
    <row r="90" hidden="1" ht="15.75" customHeight="1">
      <c r="B90" t="s">
        <f>TRVS!#REF!</f>
        <v>822</v>
      </c>
      <c r="C90" s="3" t="s">
        <f>TRVS!#REF!</f>
        <v>822</v>
      </c>
      <c r="D90" s="3" t="s">
        <f>TRVS!#REF!</f>
        <v>822</v>
      </c>
      <c r="E90" t="s">
        <f>D89*C90</f>
        <v>822</v>
      </c>
      <c r="F90" t="s">
        <f>C89*D90</f>
        <v>822</v>
      </c>
      <c r="G90" s="2" t="s">
        <f>SQRT(((C90-C89)^2)+((D90-D89)^2))</f>
        <v>822</v>
      </c>
    </row>
    <row r="91" hidden="1" ht="15.75" customHeight="1">
      <c r="B91" t="s">
        <f>TRVS!#REF!</f>
        <v>822</v>
      </c>
      <c r="C91" s="3" t="s">
        <f>TRVS!#REF!</f>
        <v>822</v>
      </c>
      <c r="D91" s="3" t="s">
        <f>TRVS!#REF!</f>
        <v>822</v>
      </c>
      <c r="E91" t="s">
        <f>D90*C91</f>
        <v>822</v>
      </c>
      <c r="F91" t="s">
        <f>C90*D91</f>
        <v>822</v>
      </c>
      <c r="G91" s="2" t="s">
        <f>SQRT(((C91-C90)^2)+((D91-D90)^2))</f>
        <v>822</v>
      </c>
    </row>
    <row r="92" hidden="1" ht="15.75" customHeight="1">
      <c r="B92" t="s">
        <f>TRVS!#REF!</f>
        <v>822</v>
      </c>
      <c r="C92" s="3" t="s">
        <f>TRVS!#REF!</f>
        <v>822</v>
      </c>
      <c r="D92" s="3" t="s">
        <f>TRVS!#REF!</f>
        <v>822</v>
      </c>
      <c r="E92" t="s">
        <f>D91*C92</f>
        <v>822</v>
      </c>
      <c r="F92" t="s">
        <f>C91*D92</f>
        <v>822</v>
      </c>
      <c r="G92" s="2" t="s">
        <f>SQRT(((C92-C91)^2)+((D92-D91)^2))</f>
        <v>822</v>
      </c>
    </row>
    <row r="93" hidden="1" ht="15.75" customHeight="1">
      <c r="B93" t="s">
        <f>TRVS!#REF!</f>
        <v>822</v>
      </c>
      <c r="C93" s="3" t="s">
        <f>TRVS!#REF!</f>
        <v>822</v>
      </c>
      <c r="D93" s="3" t="s">
        <f>TRVS!#REF!</f>
        <v>822</v>
      </c>
      <c r="E93" t="s">
        <f>D92*C93</f>
        <v>822</v>
      </c>
      <c r="F93" t="s">
        <f>C92*D93</f>
        <v>822</v>
      </c>
      <c r="G93" s="2" t="s">
        <f>SQRT(((C93-C92)^2)+((D93-D92)^2))</f>
        <v>822</v>
      </c>
    </row>
    <row r="94" hidden="1" ht="15.75" customHeight="1">
      <c r="B94" t="s">
        <f>TRVS!#REF!</f>
        <v>822</v>
      </c>
      <c r="C94" s="3" t="s">
        <f>TRVS!#REF!</f>
        <v>822</v>
      </c>
      <c r="D94" s="3" t="s">
        <f>TRVS!#REF!</f>
        <v>822</v>
      </c>
      <c r="E94" t="s">
        <f>D93*C94</f>
        <v>822</v>
      </c>
      <c r="F94" t="s">
        <f>C93*D94</f>
        <v>822</v>
      </c>
      <c r="G94" s="2" t="s">
        <f>SQRT(((C94-C93)^2)+((D94-D93)^2))</f>
        <v>822</v>
      </c>
    </row>
    <row r="95" hidden="1" ht="15.75" customHeight="1">
      <c r="B95" t="s">
        <f>TRVS!#REF!</f>
        <v>822</v>
      </c>
      <c r="C95" s="3" t="s">
        <f>TRVS!#REF!</f>
        <v>822</v>
      </c>
      <c r="D95" s="3" t="s">
        <f>TRVS!#REF!</f>
        <v>822</v>
      </c>
      <c r="E95" t="s">
        <f>D94*C95</f>
        <v>822</v>
      </c>
      <c r="F95" t="s">
        <f>C94*D95</f>
        <v>822</v>
      </c>
      <c r="G95" s="2" t="s">
        <f>SQRT(((C95-C94)^2)+((D95-D94)^2))</f>
        <v>822</v>
      </c>
    </row>
    <row r="96" hidden="1" ht="15.75" customHeight="1">
      <c r="B96" t="s">
        <f>TRVS!#REF!</f>
        <v>822</v>
      </c>
      <c r="C96" s="3" t="s">
        <f>TRVS!#REF!</f>
        <v>822</v>
      </c>
      <c r="D96" s="3" t="s">
        <f>TRVS!#REF!</f>
        <v>822</v>
      </c>
      <c r="E96" t="s">
        <f>D95*C96</f>
        <v>822</v>
      </c>
      <c r="F96" t="s">
        <f>C95*D96</f>
        <v>822</v>
      </c>
      <c r="G96" s="2" t="s">
        <f>SQRT(((C96-C95)^2)+((D96-D95)^2))</f>
        <v>822</v>
      </c>
    </row>
    <row r="97" hidden="1" ht="15.75" customHeight="1">
      <c r="B97" t="s">
        <f>TRVS!#REF!</f>
        <v>822</v>
      </c>
      <c r="C97" s="3" t="s">
        <f>TRVS!#REF!</f>
        <v>822</v>
      </c>
      <c r="D97" s="3" t="s">
        <f>TRVS!#REF!</f>
        <v>822</v>
      </c>
      <c r="E97" t="s">
        <f>D96*C97</f>
        <v>822</v>
      </c>
      <c r="F97" t="s">
        <f>C96*D97</f>
        <v>822</v>
      </c>
      <c r="G97" s="2" t="s">
        <f>SQRT(((C97-C96)^2)+((D97-D96)^2))</f>
        <v>822</v>
      </c>
    </row>
    <row r="98" hidden="1" ht="15.75" customHeight="1">
      <c r="B98" t="s">
        <f>TRVS!#REF!</f>
        <v>822</v>
      </c>
      <c r="C98" s="3" t="s">
        <f>TRVS!#REF!</f>
        <v>822</v>
      </c>
      <c r="D98" s="3" t="s">
        <f>TRVS!#REF!</f>
        <v>822</v>
      </c>
      <c r="E98" t="s">
        <f>D97*C98</f>
        <v>822</v>
      </c>
      <c r="F98" t="s">
        <f>C97*D98</f>
        <v>822</v>
      </c>
      <c r="G98" s="2" t="s">
        <f>SQRT(((C98-C97)^2)+((D98-D97)^2))</f>
        <v>822</v>
      </c>
    </row>
    <row r="99" hidden="1" ht="15.75" customHeight="1">
      <c r="B99" t="s">
        <f>TRVS!#REF!</f>
        <v>822</v>
      </c>
      <c r="C99" s="3" t="s">
        <f>TRVS!#REF!</f>
        <v>822</v>
      </c>
      <c r="D99" s="3" t="s">
        <f>TRVS!#REF!</f>
        <v>822</v>
      </c>
      <c r="E99" t="s">
        <f>D98*C99</f>
        <v>822</v>
      </c>
      <c r="F99" t="s">
        <f>C98*D99</f>
        <v>822</v>
      </c>
      <c r="G99" s="2" t="s">
        <f>SQRT(((C99-C98)^2)+((D99-D98)^2))</f>
        <v>822</v>
      </c>
    </row>
    <row r="100" hidden="1" ht="15.75" customHeight="1">
      <c r="B100" t="s">
        <f>TRVS!#REF!</f>
        <v>822</v>
      </c>
      <c r="C100" s="3" t="s">
        <f>TRVS!#REF!</f>
        <v>822</v>
      </c>
      <c r="D100" s="3" t="s">
        <f>TRVS!#REF!</f>
        <v>822</v>
      </c>
      <c r="E100" t="s">
        <f>D99*C100</f>
        <v>822</v>
      </c>
      <c r="F100" t="s">
        <f>C99*D100</f>
        <v>822</v>
      </c>
      <c r="G100" s="2" t="s">
        <f>SQRT(((C100-C99)^2)+((D100-D99)^2))</f>
        <v>822</v>
      </c>
    </row>
    <row r="101" hidden="1" ht="15.75" customHeight="1">
      <c r="B101" t="s">
        <f>TRVS!#REF!</f>
        <v>822</v>
      </c>
      <c r="C101" s="3" t="s">
        <f>TRVS!#REF!</f>
        <v>822</v>
      </c>
      <c r="D101" s="3" t="s">
        <f>TRVS!#REF!</f>
        <v>822</v>
      </c>
      <c r="E101" t="s">
        <f>D100*C101</f>
        <v>822</v>
      </c>
      <c r="F101" t="s">
        <f>C100*D101</f>
        <v>822</v>
      </c>
      <c r="G101" s="2" t="s">
        <f>SQRT(((C101-C100)^2)+((D101-D100)^2))</f>
        <v>822</v>
      </c>
    </row>
    <row r="102" hidden="1" ht="15.75" customHeight="1">
      <c r="B102" t="s">
        <f>TRVS!#REF!</f>
        <v>822</v>
      </c>
      <c r="C102" s="3" t="s">
        <f>TRVS!#REF!</f>
        <v>822</v>
      </c>
      <c r="D102" s="3" t="s">
        <f>TRVS!#REF!</f>
        <v>822</v>
      </c>
      <c r="E102" t="s">
        <f>D101*C102</f>
        <v>822</v>
      </c>
      <c r="F102" t="s">
        <f>C101*D102</f>
        <v>822</v>
      </c>
      <c r="G102" s="2" t="s">
        <f>SQRT(((C102-C101)^2)+((D102-D101)^2))</f>
        <v>822</v>
      </c>
    </row>
    <row r="103" hidden="1" ht="15.75" customHeight="1">
      <c r="B103" t="s">
        <f>TRVS!S76</f>
        <v>112</v>
      </c>
      <c r="C103" s="3" t="s">
        <f>TRVS!T76</f>
        <v>860</v>
      </c>
      <c r="D103" s="3" t="s">
        <f>TRVS!U76</f>
        <v>861</v>
      </c>
      <c r="E103" t="s">
        <f>D102*C103</f>
        <v>822</v>
      </c>
      <c r="F103" t="s">
        <f>C102*D103</f>
        <v>822</v>
      </c>
      <c r="G103" s="2" t="s">
        <f>SQRT(((C103-C102)^2)+((D103-D102)^2))</f>
        <v>822</v>
      </c>
    </row>
    <row r="104" hidden="1" ht="15.75" customHeight="1">
      <c r="B104" t="s">
        <f>TRVS!S77</f>
        <v>113</v>
      </c>
      <c r="C104" s="3" t="s">
        <f>TRVS!T77</f>
        <v>862</v>
      </c>
      <c r="D104" s="3" t="s">
        <f>TRVS!U77</f>
        <v>863</v>
      </c>
      <c r="E104" t="s">
        <f>D103*C104</f>
        <v>864</v>
      </c>
      <c r="F104" t="s">
        <f>C103*D104</f>
        <v>865</v>
      </c>
      <c r="G104" s="2" t="s">
        <f>SQRT(((C104-C103)^2)+((D104-D103)^2))</f>
        <v>866</v>
      </c>
    </row>
    <row r="105" hidden="1" ht="15.75" customHeight="1">
      <c r="B105" t="s">
        <f>TRVS!S78</f>
        <v>114</v>
      </c>
      <c r="C105" s="3" t="s">
        <f>TRVS!T78</f>
        <v>867</v>
      </c>
      <c r="D105" s="3" t="s">
        <f>TRVS!U78</f>
        <v>868</v>
      </c>
      <c r="E105" t="s">
        <f>D104*C105</f>
        <v>869</v>
      </c>
      <c r="F105" t="s">
        <f>C104*D105</f>
        <v>870</v>
      </c>
      <c r="G105" s="2" t="s">
        <f>SQRT(((C105-C104)^2)+((D105-D104)^2))</f>
        <v>871</v>
      </c>
    </row>
    <row r="106" hidden="1" ht="15.75" customHeight="1">
      <c r="B106" t="s">
        <f>TRVS!S79</f>
        <v>120</v>
      </c>
      <c r="C106" s="3" t="s">
        <f>TRVS!T79</f>
        <v>147</v>
      </c>
      <c r="D106" s="3" t="s">
        <f>TRVS!U79</f>
        <v>148</v>
      </c>
      <c r="E106" t="s">
        <f>D105*C106</f>
        <v>872</v>
      </c>
      <c r="F106" t="s">
        <f>C105*D106</f>
        <v>873</v>
      </c>
      <c r="G106" s="2" t="s">
        <f>SQRT(((C106-C105)^2)+((D106-D105)^2))</f>
        <v>874</v>
      </c>
    </row>
    <row r="107" hidden="1" ht="15.75" customHeight="1">
      <c r="E107" t="s">
        <f>SUM(E8:E106)</f>
        <v>822</v>
      </c>
      <c r="F107" t="s">
        <f>SUM(F8:F106)</f>
        <v>822</v>
      </c>
    </row>
    <row r="108" hidden="1" ht="15.75" customHeight="1">
      <c r="B108" t="s">
        <v>875</v>
      </c>
      <c r="C108" s="3" t="s">
        <f>ABS((E107-F107)/20000)</f>
        <v>822</v>
      </c>
      <c r="D108" t="s">
        <v>876</v>
      </c>
    </row>
    <row r="109" hidden="1" ht="15.75" customHeight="1">
      <c r="B109" t="s">
        <v>877</v>
      </c>
      <c r="C109" s="3" t="s">
        <f>2.471*C108</f>
        <v>822</v>
      </c>
      <c r="D109" t="s">
        <v>878</v>
      </c>
    </row>
    <row r="110" hidden="1" ht="15.75" customHeight="1">
      <c r="C110" s="3" t="s">
        <f>C109*100</f>
        <v>822</v>
      </c>
      <c r="D110" t="s">
        <v>879</v>
      </c>
    </row>
    <row r="111" hidden="1" ht="15.75" customHeight="1"/>
    <row r="112" ht="14.25" customHeight="1"/>
    <row r="113" ht="20.25" customHeight="1">
      <c r="C113" t="s">
        <v>880</v>
      </c>
    </row>
    <row r="114" ht="15.75" customHeight="1"/>
    <row r="115" ht="15.75" customHeight="1">
      <c r="C115" s="2" t="s">
        <v>881</v>
      </c>
    </row>
    <row r="116" ht="15.75" customHeight="1">
      <c r="C116" t="s">
        <v>45</v>
      </c>
      <c r="D116" s="2" t="s">
        <v>882</v>
      </c>
      <c r="E116" s="2" t="s">
        <v>883</v>
      </c>
      <c r="G116" s="2" t="s">
        <v>884</v>
      </c>
    </row>
    <row r="117" ht="14.25" customHeight="1"/>
    <row r="118" ht="14.25" customHeight="1">
      <c r="C118" s="3" t="s">
        <v>48</v>
      </c>
      <c r="D118" s="3">
        <v>45895.954</v>
      </c>
      <c r="E118" s="3">
        <v>210949.513</v>
      </c>
    </row>
    <row r="119" ht="14.25" customHeight="1">
      <c r="C119" s="3" t="s">
        <v>49</v>
      </c>
      <c r="D119" s="3">
        <v>45877.617999999995</v>
      </c>
      <c r="E119" s="3">
        <v>210925.20500000002</v>
      </c>
      <c r="F119" t="s">
        <f>D118*E119-D119*E118</f>
        <v>885</v>
      </c>
      <c r="G119" s="3" t="s">
        <f>SQRT((D118-D119)^2+(E118-E119)^2)</f>
        <v>425</v>
      </c>
    </row>
    <row r="120" ht="14.25" customHeight="1">
      <c r="C120" s="3" t="s">
        <v>50</v>
      </c>
      <c r="D120" s="3">
        <v>45870.528999999995</v>
      </c>
      <c r="E120" s="3">
        <v>210920.108</v>
      </c>
      <c r="F120" t="s">
        <f>D119*E120-D120*E119</f>
        <v>886</v>
      </c>
      <c r="G120" s="3" t="s">
        <f>SQRT((D119-D120)^2+(E119-E120)^2)</f>
        <v>210</v>
      </c>
    </row>
    <row r="121" ht="14.25" customHeight="1">
      <c r="C121" s="3" t="s">
        <v>51</v>
      </c>
      <c r="D121" s="3">
        <v>45832.708999999995</v>
      </c>
      <c r="E121" s="3">
        <v>210947.25</v>
      </c>
      <c r="F121" t="s">
        <f>D120*E121-D121*E120</f>
        <v>887</v>
      </c>
      <c r="G121" s="3" t="s">
        <f>SQRT((D120-D121)^2+(E120-E121)^2)</f>
        <v>220</v>
      </c>
    </row>
    <row r="122" ht="14.25" customHeight="1">
      <c r="C122" s="3" t="s">
        <v>52</v>
      </c>
      <c r="D122" s="3">
        <v>45825.057</v>
      </c>
      <c r="E122" s="3">
        <v>210953.831</v>
      </c>
      <c r="F122" t="s">
        <f>D121*E122-D122*E121</f>
        <v>888</v>
      </c>
      <c r="G122" s="3" t="s">
        <f>SQRT((D121-D122)^2+(E121-E122)^2)</f>
        <v>227</v>
      </c>
    </row>
    <row r="123" ht="14.25" customHeight="1">
      <c r="C123" s="3" t="s">
        <v>53</v>
      </c>
      <c r="D123" s="3">
        <v>45815.564</v>
      </c>
      <c r="E123" s="3">
        <v>210942.528</v>
      </c>
      <c r="F123" t="s">
        <f>D122*E123-D123*E122</f>
        <v>889</v>
      </c>
      <c r="G123" s="3" t="s">
        <f>SQRT((D122-D123)^2+(E122-E123)^2)</f>
        <v>236</v>
      </c>
    </row>
    <row r="124" ht="14.25" customHeight="1">
      <c r="C124" s="3" t="s">
        <v>54</v>
      </c>
      <c r="D124" s="3">
        <v>45799.001</v>
      </c>
      <c r="E124" s="3">
        <v>210933.987</v>
      </c>
      <c r="F124" t="s">
        <f>D123*E124-D124*E123</f>
        <v>890</v>
      </c>
      <c r="G124" s="3" t="s">
        <f>SQRT((D123-D124)^2+(E123-E124)^2)</f>
        <v>440</v>
      </c>
    </row>
    <row r="125" ht="14.25" customHeight="1">
      <c r="C125" s="3" t="s">
        <v>55</v>
      </c>
      <c r="D125" s="3">
        <v>45785.763</v>
      </c>
      <c r="E125" s="3">
        <v>210921.616</v>
      </c>
      <c r="F125" t="s">
        <f>D124*E125-D125*E124</f>
        <v>891</v>
      </c>
      <c r="G125" s="3" t="s">
        <f>SQRT((D124-D125)^2+(E124-E125)^2)</f>
        <v>443</v>
      </c>
    </row>
    <row r="126" ht="14.25" customHeight="1">
      <c r="C126" s="3" t="s">
        <v>56</v>
      </c>
      <c r="D126" s="3">
        <v>45790.378</v>
      </c>
      <c r="E126" s="3">
        <v>210928.682</v>
      </c>
      <c r="F126" t="s">
        <f>D125*E126-D126*E125</f>
        <v>892</v>
      </c>
      <c r="G126" s="3" t="s">
        <f>SQRT((D125-D126)^2+(E125-E126)^2)</f>
        <v>254</v>
      </c>
    </row>
    <row r="127" ht="14.25" customHeight="1">
      <c r="C127" s="3" t="s">
        <v>57</v>
      </c>
      <c r="D127" s="3">
        <v>45805.106999999996</v>
      </c>
      <c r="E127" s="3">
        <v>210910.328</v>
      </c>
      <c r="F127" t="s">
        <f>D126*E127-D127*E126</f>
        <v>893</v>
      </c>
      <c r="G127" s="3" t="s">
        <f>SQRT((D126-D127)^2+(E126-E127)^2)</f>
        <v>263</v>
      </c>
    </row>
    <row r="128" ht="14.25" customHeight="1">
      <c r="C128" s="3" t="s">
        <v>58</v>
      </c>
      <c r="D128" s="3">
        <v>45794.092</v>
      </c>
      <c r="E128" s="3">
        <v>210899.829</v>
      </c>
      <c r="F128" t="s">
        <f>D127*E128-D128*E127</f>
        <v>894</v>
      </c>
      <c r="G128" s="3" t="s">
        <f>SQRT((D127-D128)^2+(E127-E128)^2)</f>
        <v>450</v>
      </c>
    </row>
    <row r="129" ht="14.25" customHeight="1">
      <c r="C129" s="3" t="s">
        <v>59</v>
      </c>
      <c r="D129" s="3">
        <v>45788.358</v>
      </c>
      <c r="E129" s="3">
        <v>210887.158</v>
      </c>
      <c r="F129" t="s">
        <f>D128*E129-D129*E128</f>
        <v>895</v>
      </c>
      <c r="G129" s="3" t="s">
        <f>SQRT((D128-D129)^2+(E128-E129)^2)</f>
        <v>454</v>
      </c>
    </row>
    <row r="130" ht="14.25" customHeight="1">
      <c r="C130" s="3" t="s">
        <v>60</v>
      </c>
      <c r="D130" s="3">
        <v>45774.261999999995</v>
      </c>
      <c r="E130" s="3">
        <v>210852.583</v>
      </c>
      <c r="F130" t="s">
        <f>D129*E130-D130*E129</f>
        <v>896</v>
      </c>
      <c r="G130" s="3" t="s">
        <f>SQRT((D129-D130)^2+(E129-E130)^2)</f>
        <v>457</v>
      </c>
    </row>
    <row r="131" ht="14.25" customHeight="1">
      <c r="C131" s="3" t="s">
        <v>61</v>
      </c>
      <c r="D131" s="3">
        <v>45751.134</v>
      </c>
      <c r="E131" s="3">
        <v>210806.435</v>
      </c>
      <c r="F131" t="s">
        <f>D130*E131-D131*E130</f>
        <v>897</v>
      </c>
      <c r="G131" s="3" t="s">
        <f>SQRT((D130-D131)^2+(E130-E131)^2)</f>
        <v>460</v>
      </c>
    </row>
    <row r="132" ht="14.25" customHeight="1">
      <c r="C132" s="3" t="s">
        <v>62</v>
      </c>
      <c r="D132" s="3">
        <v>45812.674</v>
      </c>
      <c r="E132" s="3">
        <v>210783.798</v>
      </c>
      <c r="F132" t="s">
        <f>D131*E132-D132*E131</f>
        <v>898</v>
      </c>
      <c r="G132" s="3" t="s">
        <f>SQRT((D131-D132)^2+(E131-E132)^2)</f>
        <v>467</v>
      </c>
    </row>
    <row r="133" ht="14.25" customHeight="1">
      <c r="C133" s="3" t="s">
        <v>63</v>
      </c>
      <c r="D133" s="3">
        <v>45772.979</v>
      </c>
      <c r="E133" s="3">
        <v>210561.217</v>
      </c>
      <c r="F133" t="s">
        <f>D132*E133-D133*E132</f>
        <v>899</v>
      </c>
      <c r="G133" s="3" t="s">
        <f>SQRT((D132-D133)^2+(E132-E133)^2)</f>
        <v>475</v>
      </c>
    </row>
    <row r="134" ht="14.25" customHeight="1">
      <c r="C134" s="3" t="s">
        <v>64</v>
      </c>
      <c r="D134" s="3">
        <v>45772.111</v>
      </c>
      <c r="E134" s="3">
        <v>210536.342</v>
      </c>
      <c r="F134" t="s">
        <f>D133*E134-D134*E133</f>
        <v>900</v>
      </c>
      <c r="G134" s="3" t="s">
        <f>SQRT((D133-D134)^2+(E133-E134)^2)</f>
        <v>484</v>
      </c>
    </row>
    <row r="135" ht="14.25" customHeight="1">
      <c r="C135" s="3" t="s">
        <v>65</v>
      </c>
      <c r="D135" s="3">
        <v>45785.731999999996</v>
      </c>
      <c r="E135" s="3">
        <v>210486.748</v>
      </c>
      <c r="F135" t="s">
        <f>D134*E135-D135*E134</f>
        <v>901</v>
      </c>
      <c r="G135" s="3" t="s">
        <f>SQRT((D134-D135)^2+(E134-E135)^2)</f>
        <v>490</v>
      </c>
    </row>
    <row r="136" ht="14.25" customHeight="1">
      <c r="C136" s="3" t="s">
        <v>66</v>
      </c>
      <c r="D136" s="3">
        <v>45756.138999999996</v>
      </c>
      <c r="E136" s="3">
        <v>210473.939</v>
      </c>
      <c r="F136" t="s">
        <f>D135*E136-D136*E135</f>
        <v>902</v>
      </c>
      <c r="G136" s="3" t="s">
        <f>SQRT((D135-D136)^2+(E135-E136)^2)</f>
        <v>496</v>
      </c>
    </row>
    <row r="137" ht="14.25" customHeight="1">
      <c r="C137" s="3" t="s">
        <v>67</v>
      </c>
      <c r="D137" s="3">
        <v>45737.111</v>
      </c>
      <c r="E137" s="3">
        <v>210465.733</v>
      </c>
      <c r="F137" t="s">
        <f>D136*E137-D137*E136</f>
        <v>903</v>
      </c>
      <c r="G137" s="3" t="s">
        <f>SQRT((D136-D137)^2+(E136-E137)^2)</f>
        <v>500</v>
      </c>
    </row>
    <row r="138" ht="14.25" customHeight="1">
      <c r="C138" s="3" t="s">
        <v>68</v>
      </c>
      <c r="D138" s="3">
        <v>45742.481999999996</v>
      </c>
      <c r="E138" s="3">
        <v>210406.828</v>
      </c>
      <c r="F138" t="s">
        <f>D137*E138-D138*E137</f>
        <v>904</v>
      </c>
      <c r="G138" s="3" t="s">
        <f>SQRT((D137-D138)^2+(E137-E138)^2)</f>
        <v>506</v>
      </c>
    </row>
    <row r="139" ht="14.25" customHeight="1">
      <c r="C139" s="3" t="s">
        <v>69</v>
      </c>
      <c r="D139" s="3">
        <v>45781.176999999996</v>
      </c>
      <c r="E139" s="3">
        <v>210412.141</v>
      </c>
      <c r="F139" t="s">
        <f>D138*E139-D139*E138</f>
        <v>905</v>
      </c>
      <c r="G139" s="3" t="s">
        <f>SQRT((D138-D139)^2+(E138-E139)^2)</f>
        <v>510</v>
      </c>
    </row>
    <row r="140" ht="14.25" customHeight="1">
      <c r="C140" s="3" t="s">
        <v>70</v>
      </c>
      <c r="D140" s="3">
        <v>45827.483</v>
      </c>
      <c r="E140" s="3">
        <v>210420.06</v>
      </c>
      <c r="F140" t="s">
        <f>D139*E140-D140*E139</f>
        <v>906</v>
      </c>
      <c r="G140" s="3" t="s">
        <f>SQRT((D139-D140)^2+(E139-E140)^2)</f>
        <v>514</v>
      </c>
    </row>
    <row r="141" ht="14.25" customHeight="1">
      <c r="C141" s="3" t="s">
        <v>71</v>
      </c>
      <c r="D141" s="3">
        <v>45829.379</v>
      </c>
      <c r="E141" s="3">
        <v>210426.103</v>
      </c>
      <c r="F141" t="s">
        <f>D140*E141-D141*E140</f>
        <v>907</v>
      </c>
      <c r="G141" s="3" t="s">
        <f>SQRT((D140-D141)^2+(E140-E141)^2)</f>
        <v>519</v>
      </c>
    </row>
    <row r="142" ht="14.25" customHeight="1">
      <c r="C142" s="3" t="s">
        <v>72</v>
      </c>
      <c r="D142" s="3">
        <v>45836.362</v>
      </c>
      <c r="E142" s="3">
        <v>210438.057</v>
      </c>
      <c r="F142" t="s">
        <f>D141*E142-D142*E141</f>
        <v>908</v>
      </c>
      <c r="G142" s="3" t="s">
        <f>SQRT((D141-D142)^2+(E141-E142)^2)</f>
        <v>523</v>
      </c>
    </row>
    <row r="143" ht="14.25" customHeight="1">
      <c r="C143" s="3" t="s">
        <v>73</v>
      </c>
      <c r="D143" s="3">
        <v>45843.148</v>
      </c>
      <c r="E143" s="3">
        <v>210449.653</v>
      </c>
      <c r="F143" t="s">
        <f>D142*E143-D143*E142</f>
        <v>909</v>
      </c>
      <c r="G143" s="3" t="s">
        <f>SQRT((D142-D143)^2+(E142-E143)^2)</f>
        <v>527</v>
      </c>
    </row>
    <row r="144" ht="14.25" customHeight="1">
      <c r="C144" s="3" t="s">
        <v>74</v>
      </c>
      <c r="D144" s="3">
        <v>45861.778</v>
      </c>
      <c r="E144" s="3">
        <v>210474.71600000001</v>
      </c>
      <c r="F144" t="s">
        <f>D143*E144-D144*E143</f>
        <v>910</v>
      </c>
      <c r="G144" s="3" t="s">
        <f>SQRT((D143-D144)^2+(E143-E144)^2)</f>
        <v>531</v>
      </c>
    </row>
    <row r="145" ht="14.25" customHeight="1">
      <c r="C145" s="3" t="s">
        <v>75</v>
      </c>
      <c r="D145" s="3">
        <v>45861.784999999996</v>
      </c>
      <c r="E145" s="3">
        <v>210474.719</v>
      </c>
      <c r="F145" t="s">
        <f>D144*E145-D145*E144</f>
        <v>911</v>
      </c>
      <c r="G145" s="3" t="s">
        <f>SQRT((D144-D145)^2+(E144-E145)^2)</f>
        <v>422</v>
      </c>
    </row>
    <row r="146" ht="14.25" customHeight="1">
      <c r="C146" s="3" t="s">
        <v>76</v>
      </c>
      <c r="D146" s="3">
        <v>45867.744</v>
      </c>
      <c r="E146" s="3">
        <v>210481.604</v>
      </c>
      <c r="F146" t="s">
        <f>D145*E146-D146*E145</f>
        <v>912</v>
      </c>
      <c r="G146" s="3" t="s">
        <f>SQRT((D145-D146)^2+(E145-E146)^2)</f>
        <v>534</v>
      </c>
    </row>
    <row r="147" ht="14.25" customHeight="1">
      <c r="C147" s="3" t="s">
        <v>77</v>
      </c>
      <c r="D147" s="3">
        <v>45892.216</v>
      </c>
      <c r="E147" s="3">
        <v>210512.366</v>
      </c>
      <c r="F147" t="s">
        <f>D146*E147-D147*E146</f>
        <v>913</v>
      </c>
      <c r="G147" s="3" t="s">
        <f>SQRT((D146-D147)^2+(E146-E147)^2)</f>
        <v>538</v>
      </c>
    </row>
    <row r="148" ht="14.25" customHeight="1">
      <c r="C148" s="3" t="s">
        <v>78</v>
      </c>
      <c r="D148" s="3">
        <v>45902.854999999996</v>
      </c>
      <c r="E148" s="3">
        <v>210527.727</v>
      </c>
      <c r="F148" t="s">
        <f>D147*E148-D148*E147</f>
        <v>914</v>
      </c>
      <c r="G148" s="3" t="s">
        <f>SQRT((D147-D148)^2+(E147-E148)^2)</f>
        <v>542</v>
      </c>
    </row>
    <row r="149" ht="14.25" customHeight="1">
      <c r="C149" s="3" t="s">
        <v>79</v>
      </c>
      <c r="D149" s="3">
        <v>45930.133</v>
      </c>
      <c r="E149" s="3">
        <v>210555.57200000001</v>
      </c>
      <c r="F149" t="s">
        <f>D148*E149-D149*E148</f>
        <v>915</v>
      </c>
      <c r="G149" s="3" t="s">
        <f>SQRT((D148-D149)^2+(E148-E149)^2)</f>
        <v>546</v>
      </c>
    </row>
    <row r="150" ht="14.25" customHeight="1">
      <c r="C150" s="3" t="s">
        <v>80</v>
      </c>
      <c r="D150" s="3">
        <v>45948.481999999996</v>
      </c>
      <c r="E150" s="3">
        <v>210538.112</v>
      </c>
      <c r="F150" t="s">
        <f>D149*E150-D150*E149</f>
        <v>916</v>
      </c>
      <c r="G150" s="3" t="s">
        <f>SQRT((D149-D150)^2+(E149-E150)^2)</f>
        <v>551</v>
      </c>
    </row>
    <row r="151" ht="14.25" customHeight="1">
      <c r="C151" s="3" t="s">
        <v>81</v>
      </c>
      <c r="D151" s="3">
        <v>45963.792</v>
      </c>
      <c r="E151" s="3">
        <v>210549.482</v>
      </c>
      <c r="F151" t="s">
        <f>D150*E151-D151*E150</f>
        <v>917</v>
      </c>
      <c r="G151" s="3" t="s">
        <f>SQRT((D150-D151)^2+(E150-E151)^2)</f>
        <v>555</v>
      </c>
    </row>
    <row r="152" ht="14.25" customHeight="1">
      <c r="C152" s="3" t="s">
        <v>82</v>
      </c>
      <c r="D152" s="3">
        <v>45995.842</v>
      </c>
      <c r="E152" s="3">
        <v>210507.781</v>
      </c>
      <c r="F152" t="s">
        <f>D151*E152-D152*E151</f>
        <v>918</v>
      </c>
      <c r="G152" s="3" t="s">
        <f>SQRT((D151-D152)^2+(E151-E152)^2)</f>
        <v>560</v>
      </c>
    </row>
    <row r="153" ht="14.25" customHeight="1">
      <c r="C153" s="3" t="s">
        <v>83</v>
      </c>
      <c r="D153" s="3">
        <v>46000.032</v>
      </c>
      <c r="E153" s="3">
        <v>210503.247</v>
      </c>
      <c r="F153" t="s">
        <f>D152*E153-D153*E152</f>
        <v>919</v>
      </c>
      <c r="G153" s="3" t="s">
        <f>SQRT((D152-D153)^2+(E152-E153)^2)</f>
        <v>563</v>
      </c>
    </row>
    <row r="154" ht="14.25" customHeight="1">
      <c r="C154" s="3" t="s">
        <v>84</v>
      </c>
      <c r="D154" s="3">
        <v>46016.530999999995</v>
      </c>
      <c r="E154" s="3">
        <v>210493.509</v>
      </c>
      <c r="F154" t="s">
        <f>D153*E154-D154*E153</f>
        <v>920</v>
      </c>
      <c r="G154" s="3" t="s">
        <f>SQRT((D153-D154)^2+(E153-E154)^2)</f>
        <v>568</v>
      </c>
    </row>
    <row r="155" ht="14.25" customHeight="1">
      <c r="C155" s="3" t="s">
        <v>85</v>
      </c>
      <c r="D155" s="3">
        <v>46031.441</v>
      </c>
      <c r="E155" s="3">
        <v>210473.877</v>
      </c>
      <c r="F155" t="s">
        <f>D154*E155-D155*E154</f>
        <v>921</v>
      </c>
      <c r="G155" s="3" t="s">
        <f>SQRT((D154-D155)^2+(E154-E155)^2)</f>
        <v>571</v>
      </c>
    </row>
    <row r="156" ht="14.25" customHeight="1">
      <c r="C156" s="3" t="s">
        <v>86</v>
      </c>
      <c r="D156" s="3">
        <v>46052.759</v>
      </c>
      <c r="E156" s="3">
        <v>210490.987</v>
      </c>
      <c r="F156" t="s">
        <f>D155*E156-D156*E155</f>
        <v>922</v>
      </c>
      <c r="G156" s="3" t="s">
        <f>SQRT((D155-D156)^2+(E155-E156)^2)</f>
        <v>575</v>
      </c>
    </row>
    <row r="157" ht="14.25" customHeight="1">
      <c r="C157" s="3" t="s">
        <v>87</v>
      </c>
      <c r="D157" s="3">
        <v>46071.056</v>
      </c>
      <c r="E157" s="3">
        <v>210505.385</v>
      </c>
      <c r="F157" t="s">
        <f>D156*E157-D157*E156</f>
        <v>923</v>
      </c>
      <c r="G157" s="3" t="s">
        <f>SQRT((D156-D157)^2+(E156-E157)^2)</f>
        <v>579</v>
      </c>
    </row>
    <row r="158" ht="14.25" customHeight="1">
      <c r="C158" s="3" t="s">
        <v>88</v>
      </c>
      <c r="D158" s="3">
        <v>46092.64</v>
      </c>
      <c r="E158" s="3">
        <v>210520.3</v>
      </c>
      <c r="F158" t="s">
        <f>D157*E158-D158*E157</f>
        <v>924</v>
      </c>
      <c r="G158" s="3" t="s">
        <f>SQRT((D157-D158)^2+(E157-E158)^2)</f>
        <v>583</v>
      </c>
    </row>
    <row r="159" ht="14.25" customHeight="1">
      <c r="C159" s="3" t="s">
        <v>89</v>
      </c>
      <c r="D159" s="3">
        <v>46102.305</v>
      </c>
      <c r="E159" s="3">
        <v>210512.741</v>
      </c>
      <c r="F159" t="s">
        <f>D158*E159-D159*E158</f>
        <v>925</v>
      </c>
      <c r="G159" s="3" t="s">
        <f>SQRT((D158-D159)^2+(E158-E159)^2)</f>
        <v>588</v>
      </c>
    </row>
    <row r="160" ht="14.25" customHeight="1">
      <c r="C160" s="3" t="s">
        <v>90</v>
      </c>
      <c r="D160" s="3">
        <v>46078.676</v>
      </c>
      <c r="E160" s="3">
        <v>210495.055</v>
      </c>
      <c r="F160" t="s">
        <f>D159*E160-D160*E159</f>
        <v>926</v>
      </c>
      <c r="G160" s="3" t="s">
        <f>SQRT((D159-D160)^2+(E159-E160)^2)</f>
        <v>594</v>
      </c>
    </row>
    <row r="161" ht="14.25" customHeight="1">
      <c r="C161" s="3" t="s">
        <v>91</v>
      </c>
      <c r="D161" s="3">
        <v>46098.786</v>
      </c>
      <c r="E161" s="3">
        <v>210473.31100000002</v>
      </c>
      <c r="F161" t="s">
        <f>D160*E161-D161*E160</f>
        <v>927</v>
      </c>
      <c r="G161" s="3" t="s">
        <f>SQRT((D160-D161)^2+(E160-E161)^2)</f>
        <v>597</v>
      </c>
    </row>
    <row r="162" ht="14.25" customHeight="1">
      <c r="C162" s="3" t="s">
        <v>92</v>
      </c>
      <c r="D162" s="3">
        <v>46099.693</v>
      </c>
      <c r="E162" s="3">
        <v>210473.94</v>
      </c>
      <c r="F162" t="s">
        <f>D161*E162-D162*E161</f>
        <v>928</v>
      </c>
      <c r="G162" s="3" t="s">
        <f>SQRT((D161-D162)^2+(E161-E162)^2)</f>
        <v>600</v>
      </c>
    </row>
    <row r="163" ht="14.25" customHeight="1">
      <c r="C163" s="3" t="s">
        <v>93</v>
      </c>
      <c r="D163" s="3">
        <v>46109.742</v>
      </c>
      <c r="E163" s="3">
        <v>210456.958</v>
      </c>
      <c r="F163" t="s">
        <f>D162*E163-D163*E162</f>
        <v>929</v>
      </c>
      <c r="G163" s="3" t="s">
        <f>SQRT((D162-D163)^2+(E162-E163)^2)</f>
        <v>603</v>
      </c>
    </row>
    <row r="164" ht="14.25" customHeight="1">
      <c r="C164" s="3" t="s">
        <v>94</v>
      </c>
      <c r="D164" s="3">
        <v>46117.554</v>
      </c>
      <c r="E164" s="3">
        <v>210446.169</v>
      </c>
      <c r="F164" t="s">
        <f>D163*E164-D164*E163</f>
        <v>930</v>
      </c>
      <c r="G164" s="3" t="s">
        <f>SQRT((D163-D164)^2+(E163-E164)^2)</f>
        <v>606</v>
      </c>
    </row>
    <row r="165" ht="14.25" customHeight="1">
      <c r="C165" s="3" t="s">
        <v>95</v>
      </c>
      <c r="D165" s="3">
        <v>46125.323</v>
      </c>
      <c r="E165" s="3">
        <v>210437.83000000002</v>
      </c>
      <c r="F165" t="s">
        <f>D164*E165-D165*E164</f>
        <v>931</v>
      </c>
      <c r="G165" s="3" t="s">
        <f>SQRT((D164-D165)^2+(E164-E165)^2)</f>
        <v>609</v>
      </c>
    </row>
    <row r="166" ht="14.25" customHeight="1">
      <c r="C166" s="3" t="s">
        <v>96</v>
      </c>
      <c r="D166" s="3">
        <v>46133.871</v>
      </c>
      <c r="E166" s="3">
        <v>210445.914</v>
      </c>
      <c r="F166" t="s">
        <f>D165*E166-D166*E165</f>
        <v>932</v>
      </c>
      <c r="G166" s="3" t="s">
        <f>SQRT((D165-D166)^2+(E165-E166)^2)</f>
        <v>612</v>
      </c>
    </row>
    <row r="167" ht="14.25" customHeight="1">
      <c r="C167" s="3" t="s">
        <v>97</v>
      </c>
      <c r="D167" s="3">
        <v>46160.376</v>
      </c>
      <c r="E167" s="3">
        <v>210476.087</v>
      </c>
      <c r="F167" t="s">
        <f>D166*E167-D167*E166</f>
        <v>933</v>
      </c>
      <c r="G167" s="3" t="s">
        <f>SQRT((D166-D167)^2+(E166-E167)^2)</f>
        <v>615</v>
      </c>
    </row>
    <row r="168" ht="14.25" customHeight="1">
      <c r="C168" s="3" t="s">
        <v>98</v>
      </c>
      <c r="D168" s="3">
        <v>46152.216</v>
      </c>
      <c r="E168" s="3">
        <v>210479.744</v>
      </c>
      <c r="F168" t="s">
        <f>D167*E168-D168*E167</f>
        <v>934</v>
      </c>
      <c r="G168" s="3" t="s">
        <f>SQRT((D167-D168)^2+(E167-E168)^2)</f>
        <v>328</v>
      </c>
    </row>
    <row r="169" ht="14.25" customHeight="1">
      <c r="C169" s="3" t="s">
        <v>99</v>
      </c>
      <c r="D169" s="3">
        <v>46135.839</v>
      </c>
      <c r="E169" s="3">
        <v>210492.333</v>
      </c>
      <c r="F169" t="s">
        <f>D168*E169-D169*E168</f>
        <v>935</v>
      </c>
      <c r="G169" s="3" t="s">
        <f>SQRT((D168-D169)^2+(E168-E169)^2)</f>
        <v>620</v>
      </c>
    </row>
    <row r="170" ht="14.25" customHeight="1">
      <c r="C170" s="3" t="s">
        <v>100</v>
      </c>
      <c r="D170" s="3">
        <v>46100.916</v>
      </c>
      <c r="E170" s="3">
        <v>210519.376</v>
      </c>
      <c r="F170" t="s">
        <f>D169*E170-D170*E169</f>
        <v>936</v>
      </c>
      <c r="G170" s="3" t="s">
        <f>SQRT((D169-D170)^2+(E169-E170)^2)</f>
        <v>339</v>
      </c>
    </row>
    <row r="171" ht="14.25" customHeight="1">
      <c r="C171" s="3" t="s">
        <v>101</v>
      </c>
      <c r="D171" s="3">
        <v>46077.344</v>
      </c>
      <c r="E171" s="3">
        <v>210537.256</v>
      </c>
      <c r="F171" t="s">
        <f>D170*E171-D171*E170</f>
        <v>937</v>
      </c>
      <c r="G171" s="3" t="s">
        <f>SQRT((D170-D171)^2+(E170-E171)^2)</f>
        <v>342</v>
      </c>
    </row>
    <row r="172" ht="14.25" customHeight="1">
      <c r="C172" s="3" t="s">
        <v>102</v>
      </c>
      <c r="D172" s="3">
        <v>46080.71</v>
      </c>
      <c r="E172" s="3">
        <v>210541.656</v>
      </c>
      <c r="F172" t="s">
        <f>D171*E172-D172*E171</f>
        <v>938</v>
      </c>
      <c r="G172" s="3" t="s">
        <f>SQRT((D171-D172)^2+(E171-E172)^2)</f>
        <v>347</v>
      </c>
    </row>
    <row r="173" ht="14.25" customHeight="1">
      <c r="C173" s="3" t="s">
        <v>103</v>
      </c>
      <c r="D173" s="3">
        <v>46057.81</v>
      </c>
      <c r="E173" s="3">
        <v>210565.32</v>
      </c>
      <c r="F173" t="s">
        <f>D172*E173-D173*E172</f>
        <v>939</v>
      </c>
      <c r="G173" s="3" t="s">
        <f>SQRT((D172-D173)^2+(E172-E173)^2)</f>
        <v>349</v>
      </c>
    </row>
    <row r="174" ht="14.25" customHeight="1">
      <c r="C174" s="3" t="s">
        <v>104</v>
      </c>
      <c r="D174" s="3">
        <v>46042.246999999996</v>
      </c>
      <c r="E174" s="3">
        <v>210565.786</v>
      </c>
      <c r="F174" t="s">
        <f>D173*E174-D174*E173</f>
        <v>940</v>
      </c>
      <c r="G174" s="3" t="s">
        <f>SQRT((D173-D174)^2+(E173-E174)^2)</f>
        <v>633</v>
      </c>
    </row>
    <row r="175" ht="14.25" customHeight="1">
      <c r="C175" s="3" t="s">
        <v>105</v>
      </c>
      <c r="D175" s="3">
        <v>45986.987</v>
      </c>
      <c r="E175" s="3">
        <v>210528.326</v>
      </c>
      <c r="F175" t="s">
        <f>D174*E175-D175*E174</f>
        <v>941</v>
      </c>
      <c r="G175" s="3" t="s">
        <f>SQRT((D174-D175)^2+(E174-E175)^2)</f>
        <v>637</v>
      </c>
    </row>
    <row r="176" ht="14.25" customHeight="1">
      <c r="C176" s="3" t="s">
        <v>106</v>
      </c>
      <c r="D176" s="3">
        <v>45966.17</v>
      </c>
      <c r="E176" s="3">
        <v>210555.92</v>
      </c>
      <c r="F176" t="s">
        <f>D175*E176-D176*E175</f>
        <v>942</v>
      </c>
      <c r="G176" s="3" t="s">
        <f>SQRT((D175-D176)^2+(E175-E176)^2)</f>
        <v>640</v>
      </c>
    </row>
    <row r="177" ht="14.25" customHeight="1">
      <c r="C177" s="3" t="s">
        <v>107</v>
      </c>
      <c r="D177" s="3">
        <v>45953.320999999996</v>
      </c>
      <c r="E177" s="3">
        <v>210580.352</v>
      </c>
      <c r="F177" t="s">
        <f>D176*E177-D177*E176</f>
        <v>943</v>
      </c>
      <c r="G177" s="3" t="s">
        <f>SQRT((D176-D177)^2+(E176-E177)^2)</f>
        <v>643</v>
      </c>
    </row>
    <row r="178" ht="14.25" customHeight="1">
      <c r="C178" s="3" t="s">
        <v>108</v>
      </c>
      <c r="D178" s="3">
        <v>46007.415</v>
      </c>
      <c r="E178" s="3">
        <v>210639.457</v>
      </c>
      <c r="F178" t="s">
        <f>D177*E178-D178*E177</f>
        <v>944</v>
      </c>
      <c r="G178" s="3" t="s">
        <f>SQRT((D177-D178)^2+(E177-E178)^2)</f>
        <v>646</v>
      </c>
    </row>
    <row r="179" ht="14.25" customHeight="1">
      <c r="C179" s="3" t="s">
        <v>109</v>
      </c>
      <c r="D179" s="3">
        <v>46084.884</v>
      </c>
      <c r="E179" s="3">
        <v>210729.415</v>
      </c>
      <c r="F179" t="s">
        <f>D178*E179-D179*E178</f>
        <v>945</v>
      </c>
      <c r="G179" s="3" t="s">
        <f>SQRT((D178-D179)^2+(E178-E179)^2)</f>
        <v>650</v>
      </c>
    </row>
    <row r="180" ht="14.25" customHeight="1">
      <c r="C180" s="3" t="s">
        <v>110</v>
      </c>
      <c r="D180" s="3">
        <v>46123.233</v>
      </c>
      <c r="E180" s="3">
        <v>210778.556</v>
      </c>
      <c r="F180" t="s">
        <f>D179*E180-D180*E179</f>
        <v>946</v>
      </c>
      <c r="G180" s="3" t="s">
        <f>SQRT((D179-D180)^2+(E179-E180)^2)</f>
        <v>655</v>
      </c>
    </row>
    <row r="181" ht="14.25" customHeight="1">
      <c r="C181" s="3" t="s">
        <v>111</v>
      </c>
      <c r="D181" s="3">
        <v>46145.106999999996</v>
      </c>
      <c r="E181" s="3">
        <v>210812.512</v>
      </c>
      <c r="F181" t="s">
        <f>D180*E181-D181*E180</f>
        <v>947</v>
      </c>
      <c r="G181" s="3" t="s">
        <f>SQRT((D180-D181)^2+(E180-E181)^2)</f>
        <v>659</v>
      </c>
    </row>
    <row r="182" ht="14.25" customHeight="1">
      <c r="C182" s="3" t="s">
        <v>112</v>
      </c>
      <c r="D182" s="3">
        <v>46044.746999999996</v>
      </c>
      <c r="E182" s="3">
        <v>210864.961</v>
      </c>
      <c r="F182" t="s">
        <f>D181*E182-D182*E181</f>
        <v>948</v>
      </c>
      <c r="G182" s="3" t="s">
        <f>SQRT((D181-D182)^2+(E181-E182)^2)</f>
        <v>385</v>
      </c>
    </row>
    <row r="183" ht="14.25" customHeight="1">
      <c r="C183" s="3" t="s">
        <v>113</v>
      </c>
      <c r="D183" s="3">
        <v>45995.864</v>
      </c>
      <c r="E183" s="3">
        <v>210891.445</v>
      </c>
      <c r="F183" t="s">
        <f>D182*E183-D183*E182</f>
        <v>949</v>
      </c>
      <c r="G183" s="3" t="s">
        <f>SQRT((D182-D183)^2+(E182-E183)^2)</f>
        <v>664</v>
      </c>
    </row>
    <row r="184" ht="14.25" customHeight="1">
      <c r="C184" s="3" t="s">
        <v>114</v>
      </c>
      <c r="D184" s="3">
        <v>45946.528</v>
      </c>
      <c r="E184" s="3">
        <v>210919.641</v>
      </c>
      <c r="F184" t="s">
        <f>D183*E184-D184*E183</f>
        <v>950</v>
      </c>
      <c r="G184" s="3" t="s">
        <f>SQRT((D183-D184)^2+(E183-E184)^2)</f>
        <v>668</v>
      </c>
    </row>
    <row r="185" ht="14.25" customHeight="1">
      <c r="C185" s="3" t="s">
        <v>48</v>
      </c>
      <c r="D185" s="3">
        <v>45895.954</v>
      </c>
      <c r="E185" s="3">
        <v>210949.513</v>
      </c>
      <c r="F185" t="s">
        <f>D184*E185-D185*E184</f>
        <v>951</v>
      </c>
      <c r="G185" s="3" t="s">
        <f>SQRT((D184-D185)^2+(E184-E185)^2)</f>
        <v>952</v>
      </c>
    </row>
    <row r="186" ht="14.25" customHeight="1"/>
    <row r="187" ht="15.75" customHeight="1">
      <c r="E187" s="3" t="s">
        <f>-ROUND(((-1*(SUM(F119:F185))/20000)),3)</f>
        <v>953</v>
      </c>
      <c r="G187" s="2" t="s">
        <v>954</v>
      </c>
    </row>
    <row r="188" ht="15.75" customHeight="1">
      <c r="E188" s="3" t="s">
        <f>-ROUND(((-1*(SUM(F119:F185))/2)/4046.9),3)</f>
        <v>955</v>
      </c>
      <c r="G188" s="2" t="s">
        <v>956</v>
      </c>
    </row>
    <row r="189" ht="14.25" customHeight="1">
      <c r="G189" s="2" t="s">
        <v>957</v>
      </c>
    </row>
  </sheetData>
  <mergeCells count="3">
    <mergeCell ref="C2:D2"/>
    <mergeCell ref="C113:G113"/>
    <mergeCell ref="C115:D115"/>
  </mergeCells>
  <pageMargins left="0.7" right="0.7" top="0.75" bottom="0.75" header="0" footer="0"/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</AppVersion>
  <Company>Hewlett-Packard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TOCs</vt:lpstr>
      <vt:lpstr>Job History</vt:lpstr>
      <vt:lpstr>INDEX</vt:lpstr>
      <vt:lpstr>ABSTRACT</vt:lpstr>
      <vt:lpstr>DTM</vt:lpstr>
      <vt:lpstr>Field notes</vt:lpstr>
      <vt:lpstr>TRVS</vt:lpstr>
      <vt:lpstr>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2012-02-05T16:35:37Z</dcterms:created>
  <dcterms:modified xsi:type="dcterms:W3CDTF">2012-09-10T09:46:39Z</dcterms:modified>
  <cp:lastModifiedBy>Mart</cp:lastModifiedBy>
  <cp:lastPrinted>2012-09-07T21:11:07Z</cp:lastPrinted>
  <dc:creator>REPHER</dc:creator>
</cp:coreProperties>
</file>